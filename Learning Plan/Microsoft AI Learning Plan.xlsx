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filterPrivacy="1"/>
  <xr:revisionPtr revIDLastSave="1751" documentId="13_ncr:1_{B74E400A-B65E-4202-ACF0-22F3AB449ECB}" xr6:coauthVersionLast="41" xr6:coauthVersionMax="41" xr10:uidLastSave="{4D195634-42A7-4CC4-AB65-947A5F16419A}"/>
  <bookViews>
    <workbookView xWindow="-59148" yWindow="-108" windowWidth="23256" windowHeight="12576" tabRatio="803" xr2:uid="{00000000-000D-0000-FFFF-FFFF00000000}"/>
  </bookViews>
  <sheets>
    <sheet name="Foundational" sheetId="2" r:id="rId1"/>
    <sheet name="Intelligent Agents" sheetId="5" r:id="rId2"/>
    <sheet name="Intelligent Apps" sheetId="4" r:id="rId3"/>
    <sheet name="Knowledge Mining" sheetId="24" r:id="rId4"/>
    <sheet name="Custom ML" sheetId="7" r:id="rId5"/>
    <sheet name="IoT" sheetId="25" r:id="rId6"/>
    <sheet name="Appendix" sheetId="2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9" i="24" l="1"/>
  <c r="E8" i="24"/>
  <c r="E32" i="4"/>
  <c r="E31" i="4"/>
  <c r="E15" i="5"/>
  <c r="E14" i="5"/>
  <c r="E20" i="2" l="1"/>
  <c r="E21" i="2" l="1"/>
</calcChain>
</file>

<file path=xl/sharedStrings.xml><?xml version="1.0" encoding="utf-8"?>
<sst xmlns="http://schemas.openxmlformats.org/spreadsheetml/2006/main" count="360" uniqueCount="189">
  <si>
    <t>Skill Category</t>
  </si>
  <si>
    <t>Skill</t>
  </si>
  <si>
    <t>Activity</t>
  </si>
  <si>
    <t>Software Design</t>
  </si>
  <si>
    <t>Blog</t>
  </si>
  <si>
    <t>Documentation</t>
  </si>
  <si>
    <t>Design Thinking</t>
  </si>
  <si>
    <t>Data Storage</t>
  </si>
  <si>
    <t>Total Duration (hours)</t>
  </si>
  <si>
    <t>Azure Architecture Design</t>
  </si>
  <si>
    <t>Data Warehouse Design Concepts</t>
  </si>
  <si>
    <t>Database Concepts</t>
  </si>
  <si>
    <t xml:space="preserve">Microsoft EdX Courses </t>
  </si>
  <si>
    <t>Project Management</t>
  </si>
  <si>
    <t xml:space="preserve">https://www.edx.org/course?school=Microsoft%3A%20Microsoft&amp;availability=current
</t>
  </si>
  <si>
    <t>Data Visualization</t>
  </si>
  <si>
    <t>Microsoft Learn</t>
  </si>
  <si>
    <t>https://channel9.msdn.com/</t>
  </si>
  <si>
    <t>Video</t>
  </si>
  <si>
    <t>MicroServices and Containers</t>
  </si>
  <si>
    <t>Wireframing/
Storyboarding</t>
  </si>
  <si>
    <t>Duration
(minutes)</t>
  </si>
  <si>
    <t>Total Duration (minutes)</t>
  </si>
  <si>
    <t>URL</t>
  </si>
  <si>
    <t>Videos On Demand</t>
  </si>
  <si>
    <t>MOOC</t>
  </si>
  <si>
    <t>Microsoft Hands-On Labs</t>
  </si>
  <si>
    <t>https://www.microsoft.com/handsonlabs</t>
  </si>
  <si>
    <t>Live Webinars</t>
  </si>
  <si>
    <t>Azure webinars</t>
  </si>
  <si>
    <t>https://azure.microsoft.com/en-us/overview/webinars/</t>
  </si>
  <si>
    <t>Guided Learning</t>
  </si>
  <si>
    <t>Workshop</t>
  </si>
  <si>
    <t xml:space="preserve">AI Bootcamp </t>
  </si>
  <si>
    <t xml:space="preserve">https://azure.github.io/LearnAI-Bootcamp/ </t>
  </si>
  <si>
    <t>GitHub Guides</t>
  </si>
  <si>
    <t>https://guides.github.com/</t>
  </si>
  <si>
    <t>GitHub Projects</t>
  </si>
  <si>
    <t>Sample Code</t>
  </si>
  <si>
    <t>https://github.com/explore</t>
  </si>
  <si>
    <t>Structured  Architecture Reviews</t>
  </si>
  <si>
    <t>Whitepaper</t>
  </si>
  <si>
    <t>https://docs.microsoft.com/en-us/learn/browse/</t>
  </si>
  <si>
    <t>GitHub Repositories</t>
  </si>
  <si>
    <t>* Using Storyboard Prototypes In Your Design Process https://blogs.msdn.microsoft.com/crm/2006/11/02/using-storyboard-prototypes-in-your-design-process/</t>
  </si>
  <si>
    <t>* Professional Guides: Managing Projects https://www.youtube.com/watch?v=nI5VdsVl0FM
--- Milestones, Projects (Kanban boards)
* Projects on GitHub https://www.youtube.com/watch?v=C6MGKHkNtxU</t>
  </si>
  <si>
    <t>* GitHub hello world tutorial:  https://guides.github.com/activities/hello-world/</t>
  </si>
  <si>
    <t xml:space="preserve">* Overview of Power BI:  https://www.youtube.com/watch?v=9nh-Nmf58hM
* Connecting to Software as Services: https://www.youtube.com/watch?v=EJgomYhEcJI
--- Note: Videos are part of EdX course  "Microsoft: DAT207x - Analyzing and Visualizing Data with Power BI"
</t>
  </si>
  <si>
    <t xml:space="preserve">* Build and store container images with Azure Container Registry: https://docs.microsoft.com/en-us/learn/modules/build-and-store-container-images/
</t>
  </si>
  <si>
    <r>
      <t xml:space="preserve">* Overview of Data Services in Azure:  https://www.youtube.com/watch?v=tl3MFh1lL-A
</t>
    </r>
    <r>
      <rPr>
        <i/>
        <sz val="11"/>
        <color theme="1"/>
        <rFont val="Calibri"/>
        <family val="2"/>
        <scheme val="minor"/>
      </rPr>
      <t>* Note this is part of EdX course AZURE207x Databases in Azure</t>
    </r>
  </si>
  <si>
    <r>
      <t xml:space="preserve">* Designing a Technical Solution:  https://www.edx.org/course/designing-a-technical-solution-2
--- </t>
    </r>
    <r>
      <rPr>
        <sz val="11"/>
        <color rgb="FFFF0000"/>
        <rFont val="Calibri"/>
        <family val="2"/>
        <scheme val="minor"/>
      </rPr>
      <t>Only Module 1| Designing A Technical Solution</t>
    </r>
    <r>
      <rPr>
        <sz val="11"/>
        <color theme="1"/>
        <rFont val="Calibri"/>
        <family val="2"/>
        <scheme val="minor"/>
      </rPr>
      <t xml:space="preserve"> which covers
</t>
    </r>
    <r>
      <rPr>
        <i/>
        <sz val="11"/>
        <color theme="1"/>
        <rFont val="Calibri"/>
        <family val="2"/>
        <scheme val="minor"/>
      </rPr>
      <t xml:space="preserve">
What Are You Building and Why? 
Designing User Experiences (UX)
Identifying User Needs (understand target audience and competition)
Defining Requirements (user stories, feature specification)
Interaction and User Interface Design (Wireframes/storyboards)</t>
    </r>
    <r>
      <rPr>
        <sz val="11"/>
        <color theme="1"/>
        <rFont val="Calibri"/>
        <family val="2"/>
        <scheme val="minor"/>
      </rPr>
      <t xml:space="preserve">
</t>
    </r>
  </si>
  <si>
    <r>
      <t xml:space="preserve">* Structured Review of Azure Architectures https://azure.microsoft.com/en-us/resources/structured-review-of-azure-architectures/en-us/
--- Download and briefly skim through the PDF file to get familiarized with general considerations to take into account when designing an Azure architecture. No need to spend too much time here. The main goal of this exercise is to make sure you are aware of this reference document so that you can refer to it as needed. 
--- Key sections to review: 
</t>
    </r>
    <r>
      <rPr>
        <i/>
        <sz val="11"/>
        <color theme="1"/>
        <rFont val="Calibri"/>
        <family val="2"/>
        <scheme val="minor"/>
      </rPr>
      <t xml:space="preserve">Availability review/Scalability review/Resiliency review Application design and Data Management items
Security Review: Database security, Data storage security
Management tools review: Governance (manage costs)
Roadmap and Timelines (discusses building architecture in different time-boxed phases) </t>
    </r>
  </si>
  <si>
    <t>Application Architecture Guide</t>
  </si>
  <si>
    <t xml:space="preserve">* Architecture styles: N-tier application:  https://docs.microsoft.com/en-us/azure/architecture/guide/architecture-styles/n-tier
* Architecture style: Microservices architecture style: https://docs.microsoft.com/en-gb/azure/architecture/guide/architecture-styles/microservices
* Best practices for cloud applications: API Design: https://docs.microsoft.com/en-us/azure/architecture/best-practices/api-design. Only these 3 sections: 
--- Introduction to REST
--- Organize the API around resources
--- Define operations in terms of HTTP methods
</t>
  </si>
  <si>
    <t xml:space="preserve">* Creating Storyboards with PowerPoint: https://blogs.msdn.microsoft.com/jasonz/2012/05/24/my-favorite-features-creating-storyboards-with-powerpoint/
</t>
  </si>
  <si>
    <t>Create a Web API to Host Business Logic</t>
  </si>
  <si>
    <t xml:space="preserve">*Create your first function in the Azure portal  https://docs.microsoft.com/en-us/azure/azure-functions/functions-create-first-azure-function (4 minutes)
* Create a serverless API using Azure Functions: https://docs.microsoft.com/en-us/azure/azure-functions/functions-create-serverless-api (6 minutes)
</t>
  </si>
  <si>
    <r>
      <t xml:space="preserve">* Star Schema https://www.youtube.com/watch?v=rbNbb7uGu4w
* Dimension Table Fundamentals https://www.youtube.com/watch?v=rBbOrsd5E6w 
* Dimension Table Design Concepts https://www.youtube.com/watch?v=t-lOWCPkpV0
* Demo: Exploring the AdventureWorksDW Fact Tables https://www.youtube.com/watch?v=ZiJkZlEvp6A
</t>
    </r>
    <r>
      <rPr>
        <i/>
        <sz val="11"/>
        <color theme="1"/>
        <rFont val="Calibri"/>
        <family val="2"/>
        <scheme val="minor"/>
      </rPr>
      <t>* Note this is part of EdX course DAT216x Delivering a Relational Data Warehouse</t>
    </r>
    <r>
      <rPr>
        <sz val="11"/>
        <color theme="1"/>
        <rFont val="Calibri"/>
        <family val="2"/>
        <scheme val="minor"/>
      </rPr>
      <t xml:space="preserve">
</t>
    </r>
  </si>
  <si>
    <r>
      <t xml:space="preserve">Pick </t>
    </r>
    <r>
      <rPr>
        <sz val="11"/>
        <color rgb="FFFF0000"/>
        <rFont val="Calibri"/>
        <family val="2"/>
        <scheme val="minor"/>
      </rPr>
      <t xml:space="preserve">One </t>
    </r>
    <r>
      <rPr>
        <sz val="11"/>
        <color theme="1"/>
        <rFont val="Calibri"/>
        <family val="2"/>
        <scheme val="minor"/>
      </rPr>
      <t xml:space="preserve">of the following:
* Quickstart: Create a single database in Azure SQL Database using the Azure portal https://docs.microsoft.com/en-us/azure/sql-database/sql-database-single-database-get-started
</t>
    </r>
    <r>
      <rPr>
        <i/>
        <sz val="11"/>
        <color rgb="FFFF0000"/>
        <rFont val="Calibri"/>
        <family val="2"/>
        <scheme val="minor"/>
      </rPr>
      <t>-or-</t>
    </r>
    <r>
      <rPr>
        <sz val="11"/>
        <color theme="1"/>
        <rFont val="Calibri"/>
        <family val="2"/>
        <scheme val="minor"/>
      </rPr>
      <t xml:space="preserve">
* Tutorial: Design an Azure Database for PostgreSQL using the Azure portal https://docs.microsoft.com/en-us/azure/postgresql/tutorial-design-database-using-azure-portal
</t>
    </r>
  </si>
  <si>
    <t>Azure Code Samples</t>
  </si>
  <si>
    <t>https://azure.microsoft.com/en-us/resources/samples</t>
  </si>
  <si>
    <t>Channel 9 MSDN. Also includes Microsoft Conference event videos such as MSIgnite, Microsoft Build, etc.</t>
  </si>
  <si>
    <t>PowerBI Report Authoring</t>
  </si>
  <si>
    <t>Application Development</t>
  </si>
  <si>
    <t>https://aischool.microsoft.com</t>
  </si>
  <si>
    <t>https://aidemos.microsoft.com</t>
  </si>
  <si>
    <t>Demonstrations</t>
  </si>
  <si>
    <t>MOOC Course</t>
  </si>
  <si>
    <t>https://www.edx.org/course/introduction-artificial-intelligence-3</t>
  </si>
  <si>
    <t>https://www.edx.org/microsoft-professional-program-data-science</t>
  </si>
  <si>
    <r>
      <t xml:space="preserve">Microsoft Professional Program in Data Science
</t>
    </r>
    <r>
      <rPr>
        <i/>
        <sz val="11"/>
        <color theme="1"/>
        <rFont val="Calibri"/>
        <family val="2"/>
        <scheme val="minor"/>
      </rPr>
      <t>--- Learn data science fundamentals, key data science tools, and widely-used programming languages from industry and academic experts</t>
    </r>
  </si>
  <si>
    <r>
      <t xml:space="preserve">Introduction to Artificial Intelligence (AI)
</t>
    </r>
    <r>
      <rPr>
        <i/>
        <sz val="11"/>
        <color theme="1"/>
        <rFont val="Calibri"/>
        <family val="2"/>
        <scheme val="minor"/>
      </rPr>
      <t>--- This is a high-level overview of AI to learn how Machine Learning provides the foundation for AI, and how you can leverage cognitive services in your apps.
--- Note as of March 2019 the Bot Service material within this course is NOT up to date. The course covers v3, whereas v4 of the SDK is recommended for any new Bot Service applications</t>
    </r>
  </si>
  <si>
    <r>
      <t xml:space="preserve">AI Demos
</t>
    </r>
    <r>
      <rPr>
        <i/>
        <sz val="11"/>
        <color theme="1"/>
        <rFont val="Calibri"/>
        <family val="2"/>
        <scheme val="minor"/>
      </rPr>
      <t>---Dive in to interactive demos that showcase AI in simple examples that explain the various capabilities of the Microsoft AI platform.</t>
    </r>
  </si>
  <si>
    <t>Explore Github Repositories</t>
  </si>
  <si>
    <t>Tools</t>
  </si>
  <si>
    <t>Intelligent Agents</t>
  </si>
  <si>
    <t>Bot Service</t>
  </si>
  <si>
    <t>Find Sample Code</t>
  </si>
  <si>
    <t>Build an Azure Bot</t>
  </si>
  <si>
    <t>Find Sample Azure Bot Code</t>
  </si>
  <si>
    <t xml:space="preserve">* AI Show: Build a Bot in Minutes with QnA Maker
https://channel9.msdn.com/Shows/AI-Show/Build-a-Bot-in-Minutes-with-QnA-Maker
</t>
  </si>
  <si>
    <t>https://gallery.azure.ai</t>
  </si>
  <si>
    <t>AI Gallery
--- Community site where you can share and reuse AI models and AI solution architectures.</t>
  </si>
  <si>
    <t>Community Site</t>
  </si>
  <si>
    <t>https://notebooks.azure.com/</t>
  </si>
  <si>
    <t>Azure Notebooks
--- Develop and run code from anywhere with Jupyter notebooks on Azure.
-- You can also browse public notebooks with shared sample code.</t>
  </si>
  <si>
    <t>Create a Bot using the Bot Service in the portal</t>
  </si>
  <si>
    <t>Create a Bot locally using the .Net or Java SDK</t>
  </si>
  <si>
    <t>Bot Service Overview</t>
  </si>
  <si>
    <t>Conversational Bot Reference Architecture</t>
  </si>
  <si>
    <r>
      <t xml:space="preserve">Review the Bot Builder SDK v4 Sample Code repository which contains sample code you can utilize while building your bot application.
https://github.com/Microsoft/BotBuilder-Samples/blob/master/README.md
</t>
    </r>
    <r>
      <rPr>
        <i/>
        <sz val="11"/>
        <color theme="1"/>
        <rFont val="Calibri"/>
        <family val="2"/>
        <scheme val="minor"/>
      </rPr>
      <t xml:space="preserve">--- Some interesting samples are </t>
    </r>
    <r>
      <rPr>
        <b/>
        <i/>
        <sz val="11"/>
        <color theme="1"/>
        <rFont val="Calibri"/>
        <family val="2"/>
        <scheme val="minor"/>
      </rPr>
      <t>using-adaptive-cards, suggested-actions, nlp-with-luis, facebook-events, and qnamaker</t>
    </r>
  </si>
  <si>
    <t xml:space="preserve">* Enterprise Bot Template https://docs.microsoft.com/en-us/azure/bot-service/bot-builder-enterprise-template-overview?view=azure-bot-service-4.0 (3 minutes)
* Enterprise Bot Template - Customize your Bot https://docs.microsoft.com/en-us/azure/bot-service/bot-builder-enterprise-template-customize?view=azure-bot-service-4.0 (6 minutes)
</t>
  </si>
  <si>
    <r>
      <rPr>
        <i/>
        <sz val="11"/>
        <color rgb="FFFF0000"/>
        <rFont val="Calibri"/>
        <family val="2"/>
        <scheme val="minor"/>
      </rPr>
      <t>Do not perform any of the tutorial walkthroughs for the topics below. Just read through the steps and familiarize yourself with some of the tools and processes which are outlined. You will be performing detailed hands-on labs later.</t>
    </r>
    <r>
      <rPr>
        <sz val="11"/>
        <color theme="1"/>
        <rFont val="Calibri"/>
        <family val="2"/>
        <scheme val="minor"/>
      </rPr>
      <t xml:space="preserve">
* What's new in Microsoft Bot Framework v4? https://azure.microsoft.com/en-us/blog/build-conversational-experiences-with-microsoft-bot-framework/ (5 minutes)
* Overview  https://docs.microsoft.com/en-us/azure/bot-service/bot-service-overview-introduction (8 minutes)
* How bots work https://docs.microsoft.com/en-us/azure/bot-service/bot-builder-basics (16 minutes)
* Dialogs library https://docs.microsoft.com/en-us/azure/bot-service/bot-builder-concept-dialog (12 minutes)
* Manage resources with a .bot file https://docs.microsoft.com/en-us/azure/bot-service/bot-file-basics (2 minutes)
* Principles of bot design https://docs.microsoft.com/en-us/azure/bot-service/bot-service-design-principles (3 minutes)
* Embed a bot in a website https://docs.microsoft.com/en-us/azure/bot-service/bot-service-design-pattern-embed-web-site (2 minutes)
* Add media to messages https://docs.microsoft.com/en-us/azure/bot-service/bot-builder-howto-add-media-attachments (8 minutes)
* Debug with the emulator https://docs.microsoft.com/en-us/azure/bot-service/bot-service-debug-emulator (3 minutes)
* Bot analytics https://docs.microsoft.com/en-us/azure/bot-service/bot-service-manage-analytics (3 minutes)
* Connect a bot to channels https://docs.microsoft.com/en-us/azure/bot-service/bot-service-manage-channels?view=azure-bot-service-4.0 (2 minutes)
* Connect a bot to Direct Line https://docs.microsoft.com/en-us/azure/bot-service/bot-service-channel-connect-directline (2 minutes)
* Connect a bot to Facebook https://docs.microsoft.com/en-us/azure/bot-service/bot-service-channel-connect-facebook (4 minutes)
* Connect a bot to Web Chat https://docs.microsoft.com/en-us/azure/bot-service/bot-service-channel-connect-webchat (3 minutes)
* Configure speech priming https://docs.microsoft.com/en-us/azure/bot-service/bot-service-manage-speech-priming
* FAQ: Why V4 is not backwards compatible with V3? https://docs.microsoft.com/en-us/azure/bot-service/bot-service-resources-bot-framework-faq?view=azure-bot-service-4.0#why-v4-is-not-backwards-compatible-with-v3 (1 minute)
* FAQ: What is Rate Limiting? https://docs.microsoft.com/en-us/azure/bot-service/bot-service-resources-bot-framework-faq?view=azure-bot-service-4.0#what-is-rate-limiting (1 minute)
* Bot review guidelines which outlines minimum requirements your app integration must meet before it may be published to a Microsoft channel such as Skype or Microsoft Teams https://docs.microsoft.com/en-us/azure/bot-service/bot-service-review-guidelines?view=azure-bot-service-4.0 (5 minutes)
</t>
    </r>
  </si>
  <si>
    <t>Not in learning plan for any of the selected startups.</t>
  </si>
  <si>
    <t>* Virtual Assistant Solution https://docs.microsoft.com/en-us/azure/bot-service/bot-builder-virtual-assistant-introduction?view=azure-bot-service-4.0 (8 minutes)</t>
  </si>
  <si>
    <r>
      <t xml:space="preserve">Review the Bot Builder SDK v4 source code repository which also includes sample code.
* NET version of the Microsoft Bot Builder SDK v4 https://github.com/Microsoft/botbuilder-dotnet
* JavaScript version of the Microsoft Bot Builder SDK v4  https://github.com/Microsoft/botbuilder-js
</t>
    </r>
    <r>
      <rPr>
        <i/>
        <sz val="11"/>
        <color theme="1"/>
        <rFont val="Calibri"/>
        <family val="2"/>
        <scheme val="minor"/>
      </rPr>
      <t xml:space="preserve">
The following additional SDKs are in preview. So, they are not recommended for production workloads as of March 2019
* Bot Builder SDK v4 (Python) (Preview) https://github.com/Microsoft/botbuilder-python
* Bot Builder SDK v4 (Java) (Preview) https://github.com/Microsoft/botbuilder-java</t>
    </r>
  </si>
  <si>
    <t>Bot Builder Community</t>
  </si>
  <si>
    <t>API, SDK, Tools, or Code Repository</t>
  </si>
  <si>
    <t xml:space="preserve">Familiarize yourself with the Bot Builder Community which is a collection of repos led by the community, containing extensions, including middleware, dialogs, recognizers and more for the Bot Builder SDK. 
https://github.com/BotBuilderCommunity
--- DotNet community: https://github.com/BotBuilderCommunity/botbuilder-community-dotnet
--- Javascript community: https://github.com/BotBuilderCommunity/botbuilder-community-js
</t>
  </si>
  <si>
    <t>Bot Builder SDK</t>
  </si>
  <si>
    <r>
      <t xml:space="preserve">AI School
Note: Some of the labs have accompanying videos in the </t>
    </r>
    <r>
      <rPr>
        <b/>
        <i/>
        <sz val="11"/>
        <color theme="1"/>
        <rFont val="Calibri"/>
        <family val="2"/>
        <scheme val="minor"/>
      </rPr>
      <t>AI School</t>
    </r>
    <r>
      <rPr>
        <sz val="11"/>
        <color theme="1"/>
        <rFont val="Calibri"/>
        <family val="2"/>
        <scheme val="minor"/>
      </rPr>
      <t xml:space="preserve"> channel: https://www.youtube.com/channel/UC8gWaefv8F68aY3zuTQx2Mg</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</si>
  <si>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The goal of this exercise is for you to understand that there are multiple ways of creating a bot. One way is directly though the Azure Portal, the other way is to start building it locally.
</t>
    </r>
    <r>
      <rPr>
        <sz val="11"/>
        <color theme="1"/>
        <rFont val="Calibri"/>
        <family val="2"/>
        <scheme val="minor"/>
      </rPr>
      <t xml:space="preserve">
* Create a bot with Azure Bot Service https://docs.microsoft.com/en-us/azure/bot-service/bot-service-quickstart
--- Creating a bot with Azure Bot Service and creating a bot locally are independent, parallel ways to create a bot.</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</si>
  <si>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The goal of this exercise is for you to understand that there are multiple ways of creating a bot. One way is directly though the Azure Portal, the other way is to start building it locally.
</t>
    </r>
    <r>
      <rPr>
        <sz val="11"/>
        <color theme="1"/>
        <rFont val="Calibri"/>
        <family val="2"/>
        <scheme val="minor"/>
      </rPr>
      <t xml:space="preserve">
* Choose </t>
    </r>
    <r>
      <rPr>
        <i/>
        <sz val="11"/>
        <color rgb="FFFF0000"/>
        <rFont val="Calibri"/>
        <family val="2"/>
        <scheme val="minor"/>
      </rPr>
      <t>One</t>
    </r>
    <r>
      <rPr>
        <sz val="11"/>
        <color theme="1"/>
        <rFont val="Calibri"/>
        <family val="2"/>
        <scheme val="minor"/>
      </rPr>
      <t xml:space="preserve"> of the following
Create a bot with the Bot Framework SDK for .NET https://docs.microsoft.com/en-us/azure/bot-service/dotnet/bot-builder-dotnet-sdk-quickstart
</t>
    </r>
    <r>
      <rPr>
        <b/>
        <sz val="11"/>
        <color rgb="FFFF0000"/>
        <rFont val="Calibri"/>
        <family val="2"/>
        <scheme val="minor"/>
      </rPr>
      <t xml:space="preserve">
--or--</t>
    </r>
    <r>
      <rPr>
        <sz val="11"/>
        <color theme="1"/>
        <rFont val="Calibri"/>
        <family val="2"/>
        <scheme val="minor"/>
      </rPr>
      <t xml:space="preserve">
Create a bot with the Bot Framework SDK for JavaScript
https://docs.microsoft.com/en-us/azure/bot-service/javascript/bot-builder-javascript-quickstart</t>
    </r>
  </si>
  <si>
    <t>Out of scope for AI App Factory.</t>
  </si>
  <si>
    <t>https://feedback.azure.com</t>
  </si>
  <si>
    <t>Azure Feedback Forum.
--- Central place where you can search and provide feedback and request new features for Azure products.</t>
  </si>
  <si>
    <t>Knowledge Mining</t>
  </si>
  <si>
    <t>Azure Search: Cognitive Search</t>
  </si>
  <si>
    <t>Event Recording</t>
  </si>
  <si>
    <t>* JFK Lab
https://aischool.microsoft.com/en-us/services/learning-paths/the-jfk-files
--- This lab will show you how you can leverage AI and Cognitive Search, to extract meaning from unstructured data.</t>
  </si>
  <si>
    <t>Topics of Interest:
* Azure IoT Hub https://azure.microsoft.com/en-us/services/iot-hub/
* Iot School https://iotschool.microsoft.com/en-us/home
* IoT Edge Learning Path: https://aischool.microsoft.com/en-us/intelligent-edge/learning-paths</t>
  </si>
  <si>
    <t>Key Topics of Interest:
* Azure Notebooks: https://notebooks.azure.com/
* Azure Machine Learning Services https://azure.microsoft.com/en-us/services/machine-learning-service/
* Azure DataBricks https://azure.microsoft.com/en-us/services/databricks/
* Data Science Virtual Machines https://azure.microsoft.com/en-us/services/virtual-machines/data-science-virtual-machines/
* Deploying ML models to Azure  https://docs.microsoft.com/en-us/azure/machine-learning/service/how-to-deploy-and-where
* Team Data Science Process https://docs.microsoft.com/en-us/azure/machine-learning/team-data-science-process/collaborative-coding-with-git
* Set up data science environments for use in the Team Data Science Process https://docs.microsoft.com/en-us/azure/machine-learning/team-data-science-process/environment-setup
* ML Learning Path: https://aischool.microsoft.com/en-us/machine-learning/learning-paths</t>
  </si>
  <si>
    <t>Azure Search: Cognitive Search Reference Architecture</t>
  </si>
  <si>
    <t>Content Type</t>
  </si>
  <si>
    <t xml:space="preserve">Content Type </t>
  </si>
  <si>
    <t>Content Description</t>
  </si>
  <si>
    <t>Knowledge Mining Bootcamp</t>
  </si>
  <si>
    <t>https://azure.github.io/LearnAI-KnowledgeMiningBootcamp/</t>
  </si>
  <si>
    <r>
      <t xml:space="preserve">Register to watch these two Cognitive Search webinar recordings.
* Part 1: Introduction to Cognitive Search and getting started with your project (ALS278e) https://infopedia.eventbuilder.com/event?eventid=r2x4n8
* Part 2: Building and Architecting your Cognitive Search Solution (ALS279e https://infopedia.eventbuilder.com/event?eventid=a1i8p5
Agenda:
--- </t>
    </r>
    <r>
      <rPr>
        <i/>
        <sz val="11"/>
        <color theme="1"/>
        <rFont val="Calibri"/>
        <family val="2"/>
        <scheme val="minor"/>
      </rPr>
      <t>Fundamentals of Azure Search and its capabilities
--- Microsoft Cognitive Search and its key business scenarios
--- Building an enrichment data pipeline for search using predefined and custom skillsets: 
--- Text skills like entity recognition, language detection, text manipulation and key phrase extraction
--- Image skills like OCR
--- Content moderation skills to detect documents with incompliant content
--- Use the enriched data for an advanced search experience for business documents within an enterprise.
--- Expose the knowledge mining solution using a bot interface for document search and consumption</t>
    </r>
  </si>
  <si>
    <t>* Navigate to https://azure.github.io/LearnAI-KnowledgeMiningBootcamp/resources/md-files/solution-architecture.html
--- Review the sample Architecture. Note the "Enrichment Pipeline" and "Business Documentes" boxes</t>
  </si>
  <si>
    <t>* Take a minute to review the list of Course Modules https://azure.github.io/LearnAI-KnowledgeMiningBootcamp/. This is the material for a two day in-person classroom training. The purpose of this exercise is to make you aware of this reference material. (3 minutes)</t>
  </si>
  <si>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 What is Azure Search https://docs.microsoft.com/en-us/azure/search/search-what-is-azure-search (10 minutes)
* What is "cognitive search" in Azure Search? https://docs.microsoft.com/en-us/azure/search/cognitive-search-concept-intro (9 minutes)
* Quickstart: Create a cognitive search pipeline using skills and sample data https://docs.microsoft.com/en-us/azure/search/cognitive-search-quickstart-blob (10 minutes)
* Tutorial: Learn how to call cognitive search APIs (Preview) https://docs.microsoft.com/en-us/azure/search/cognitive-search-tutorial-blob (16 minutes)
* Briefly review the introduction slides from the Knowledge Mining Bootcamp materials https://azure.github.io/LearnAI-KnowledgeMiningBootcamp/resources/md-files/introduction.html (5 minutes)
* Attach a Cognitive Services resource with a skillset in Azure Search https://docs.microsoft.com/en-us/azure/search/cognitive-search-attach-cognitive-services (5 minutes)
* How to create a skillset in an enrichment pipeline https://docs.microsoft.com/en-us/azure/search/cognitive-search-defining-skillset (7 minutes)
* How to process and extract information from images in cognitive search scenarios https://docs.microsoft.com/en-us/azure/search/cognitive-search-concept-image-scenarios (6 minutes)
* Troubleshooting tips for cognitive search https://docs.microsoft.com/en-us/azure/search/cognitive-search-concept-troubleshooting (4 minutes)
* Documentation resources for cognitive search workloads https://docs.microsoft.com/en-us/azure/search/cognitive-search-resources-documentation (2 minutes)</t>
    </r>
  </si>
  <si>
    <t>Please search the sites listed in the Appendix for additional readiness materials related to this topic.</t>
  </si>
  <si>
    <t>* Free-form text search Architecture design guide https://docs.microsoft.com/en-us/azure/architecture/data-guide/scenarios/search
* Choosing a search data store in Azure https://docs.microsoft.com/en-us/azure/architecture/data-guide/technology-choices/search-options
* Intelligent product search engine for e-commerce https://docs.microsoft.com/en-us/azure/architecture/example-scenario/apps/ecommerce-search</t>
  </si>
  <si>
    <t>* Getting started with Power BI Desktop https://docs.microsoft.com/en-us/power-bi/desktop-getting-started</t>
  </si>
  <si>
    <t>Cognitive Services Reference Architecture</t>
  </si>
  <si>
    <t>PowerBI Forecasting and ML Capabilities</t>
  </si>
  <si>
    <r>
      <t xml:space="preserve">* Reference architectures. AI: Conversational Bot: https://docs.microsoft.com/en-us/azure/architecture/reference-architectures/ai/conversational-bot
</t>
    </r>
    <r>
      <rPr>
        <i/>
        <sz val="11"/>
        <color theme="1"/>
        <rFont val="Calibri"/>
        <family val="2"/>
        <scheme val="minor"/>
      </rPr>
      <t xml:space="preserve">--- Note the "Bot Logic" and "Bot Cognition and intelligence", and "Raw Data" boxes, which are core components of this architecture.
</t>
    </r>
    <r>
      <rPr>
        <sz val="11"/>
        <color theme="1"/>
        <rFont val="Calibri"/>
        <family val="2"/>
        <scheme val="minor"/>
      </rPr>
      <t>* Conversational chatbot for hotel reservations on Azure https://docs.microsoft.com/en-us/azure/architecture/example-scenario/ai/commerce-chatbot (6 minutes)</t>
    </r>
  </si>
  <si>
    <t>Intelligent Apps</t>
  </si>
  <si>
    <t>Cognitive Services Overview</t>
  </si>
  <si>
    <t>Vision - Face API</t>
  </si>
  <si>
    <t>Vision - Computer Vision</t>
  </si>
  <si>
    <t>Vision - Custom Vision</t>
  </si>
  <si>
    <t>Language - Text Analytics</t>
  </si>
  <si>
    <t>Language - LUIS</t>
  </si>
  <si>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t>
    </r>
    <r>
      <rPr>
        <sz val="11"/>
        <color theme="1"/>
        <rFont val="Calibri"/>
        <family val="2"/>
        <scheme val="minor"/>
      </rPr>
      <t>* Using the Analytics pane in Power BI Desktop  https://docs.microsoft.com/en-us/power-bi/desktop-analytics-pane (4 minutes)
-- Learn about predictive analytics and forecasting features within PowerBI
* Run Python scripts in Power BI Desktop https://docs.microsoft.com/en-us/power-bi/desktop-python-scripts (2 minutes)
* Create Power BI visuals using Python https://docs.microsoft.com/en-us/power-bi/desktop-python-visuals (5 minutes)
* Generate data insights automatically with Power BI https://docs.microsoft.com/en-us/power-bi/service-insights (2 minutes)</t>
    </r>
  </si>
  <si>
    <t>Knowledg - QnA Maker</t>
  </si>
  <si>
    <t>Search - Bing Web Search</t>
  </si>
  <si>
    <t>Search - Bing Autosuggest</t>
  </si>
  <si>
    <t>* Internet of Things ShowAzure Maps - The Microsoft Azure Enterprise Location Platform https://channel9.msdn.com/Shows/Internet-of-Things-Show/Azure-Maps</t>
  </si>
  <si>
    <t>Location Services</t>
  </si>
  <si>
    <t>Azure Maps</t>
  </si>
  <si>
    <t>Health Bot</t>
  </si>
  <si>
    <t xml:space="preserve">* Browse the PowerBI Data Stories Gallery to see sreport design examples https://community.powerbi.com/t5/Data-Stories-Gallery/bd-p/DataStoriesGallery
</t>
  </si>
  <si>
    <t>PowerBI Sample Reports</t>
  </si>
  <si>
    <t>AI Show</t>
  </si>
  <si>
    <t>https://channel9.msdn.com/Shows/AI-Show</t>
  </si>
  <si>
    <t>IoT School</t>
  </si>
  <si>
    <t>https://iotschool.microsoft.com/en-us</t>
  </si>
  <si>
    <t>AI Lab</t>
  </si>
  <si>
    <t>https://www.ailab.microsoft.com</t>
  </si>
  <si>
    <t>Case Studies</t>
  </si>
  <si>
    <t xml:space="preserve">* Review a few case studies showcasing how Cognitive Services are being used by various businesses
http://customers.microsoft.com/en-us/search?sq=%22Microsoft%20Cognitive%20Services%22&amp;ff=language%26%3EEnglish&amp;p=3&amp;so=story_publish_date%20desc
</t>
  </si>
  <si>
    <t>* Text Analytics
https://aischool.microsoft.com/en-us/services/learning-paths/cognitive-services-text-analytics</t>
  </si>
  <si>
    <t>* Bing Search APIs v7
https://aischool.microsoft.com/en-us/services/learning-paths/bing-search-apis-v7</t>
  </si>
  <si>
    <t>* Containers Support of Cognitive Services https://azure.microsoft.com/en-us/resources/videos/containers-support-of-cognitive-services/</t>
  </si>
  <si>
    <t>* Choosing a Microsoft cognitive services technology https://docs.microsoft.com/en-us/azure/architecture/data-guide/technology-choices/cognitive-services (3 minutes)
* Image classification for insurance claims on Azure https://docs.microsoft.com/en-us/azure/architecture/example-scenario/ai/intelligent-apps-image-processing (4 minute)</t>
  </si>
  <si>
    <t>* Computer Vision Made Easy! https://channel9.msdn.com/events/Cognitive-Services/Cognitive-Services-Live/Computer-Vision-Made-Easy</t>
  </si>
  <si>
    <t>Vision - Content Moderator</t>
  </si>
  <si>
    <t>Vision - Video Indexer</t>
  </si>
  <si>
    <t>Azure Videos</t>
  </si>
  <si>
    <t>https://azure.microsoft.com/en-us/resources/videos/index/?services=cognitive-services</t>
  </si>
  <si>
    <t>* Process images with the Computer Vision service https://docs.microsoft.com/en-us/learn/modules/create-computer-vision-service-to-classify-images/index</t>
  </si>
  <si>
    <t>* Watch an overview of the lab here:
--- Introduction to the Building an Intelligent Bot Lab https://www.youtube.com/watch?v=M6UMZEO1N2o
--- Adding Knowledge to your Bot with QnA Maker https://www.youtube.com/watch?v=-b2fBya50PE
--- Implementing Project Personality Chat92 views https://www.youtube.com/watch?v=1LnCAcQ4uVM
--- Adding advanced conversational features to your bot https://www.youtube.com/watch?v=2WGPT14wXwg
This Lab will conver the Bot SDK v4. Follow the instructions to implement the Guided Learning here:
* Building and intelligent Bot. https://aischool.microsoft.com/en-us/conversational/learning-paths/building-an-intelligent-bot
--- Lab agenda: Quickly creating a basic bot, Adding the Language Understanding service to your bot, Adding advanced conversational features to your bot, Adding knowledge to your Bot with QnA Maker, Implementing Project Personality Chat, Adding Speech support (Text to Speech and Speech to Text), Adding custom speech support, Adding speech translation to your bot, Adding a Bot to a Web application, Consuming a custom voice, Going further - Project conversation Learner and Semantic Machines</t>
  </si>
  <si>
    <t>* Identify faces and expressions with the Computer Vision API in Azure Cognitive Services https://docs.microsoft.com/en-us/learn/modules/identify-faces-with-computer-vision/</t>
  </si>
  <si>
    <t>* Classify images with the Microsoft Custom Vision Service https://docs.microsoft.com/en-us/learn/modules/classify-images-with-custom-vision-service/</t>
  </si>
  <si>
    <t xml:space="preserve">* Custom Vison AI on Azure IoT Edge https://channel9.msdn.com/Shows/Internet-of-Things-Show/Custom-Vison-on-IoT-Edge
* Custom Vision – Object Detection Made Easy https://channel9.msdn.com/Shows/XamarinShow/Custom-Vision--Object-Detection-Made-Easy </t>
  </si>
  <si>
    <t>Speech - Speech Service</t>
  </si>
  <si>
    <r>
      <rPr>
        <i/>
        <sz val="11"/>
        <color rgb="FFFF0000"/>
        <rFont val="Calibri"/>
        <family val="2"/>
        <scheme val="minor"/>
      </rPr>
      <t>Do not perform any of the tutorial walkthroughs for the topics below. Just read through the steps and familiarize yourself with some of the tools and processes which are outlined. You will be performing detailed hands-on labs later.</t>
    </r>
    <r>
      <rPr>
        <sz val="11"/>
        <color theme="1"/>
        <rFont val="Calibri"/>
        <family val="2"/>
        <scheme val="minor"/>
      </rPr>
      <t xml:space="preserve">
* What is Cognitive Services https://docs.microsoft.com/en-us/azure/cognitive-services/welcome (4 minutes)
* Natural language support for Azure Cognitive Services https://docs.microsoft.com/en-us/azure/cognitive-services/language-support (4 minutes)
* Container support in Azure Cognitive Services https://docs.microsoft.com/en-us/azure/cognitive-services/cognitive-services-container-support (5 minutes)
* Quickstart: Create a Cognitive Services account in the Azure portal https://docs.microsoft.com/en-us/azure/cognitive-services/cognitive-services-apis-create-account (2 minutes)
* Authenticate requests to Azure Cognitive Services https://docs.microsoft.com/en-us/azure/cognitive-services/authentication (4 minutes)
* Pricing https://azure.microsoft.com/en-us/pricing/details/cognitive-services/ (5  minutes)
* View full list of Cognitive Services APIs at the bottom of this page:  https://docs.microsoft.com/en-us/azure/cognitive-services/ (1 min)</t>
    </r>
  </si>
  <si>
    <r>
      <t xml:space="preserve">* API Documentation  https://docs.microsoft.com/en-us/azure/media-services/video-indexer/
--- Navigate to documentation links </t>
    </r>
    <r>
      <rPr>
        <b/>
        <i/>
        <sz val="11"/>
        <color theme="1"/>
        <rFont val="Calibri"/>
        <family val="2"/>
        <scheme val="minor"/>
      </rPr>
      <t>What is Video Indexer? (4 minutes)</t>
    </r>
  </si>
  <si>
    <t>* Use Bing AI to tap into the world of knowledge https://channel9.msdn.com/Shows/AI-Show/Ai-Show-Bing-Web-Search-API
* LearnAI: Adding Bing Search to Bots https://channel9.msdn.com/Shows/AI-Show/LearnAI-Adding-Bing-Search-to-Bots</t>
  </si>
  <si>
    <t>* Build an FAQ chatbot with QnA Maker and Azure Bot Service https://docs.microsoft.com/en-us/learn/modules/build-a-faq-chat-bot-with-qna-maker-and-azure-bot-service/</t>
  </si>
  <si>
    <t>* Build a Bot in Minutes with QnA Maker https://channel9.msdn.com/Shows/AI-Show/Build-a-Bot-in-Minutes-with-QnA-Maker</t>
  </si>
  <si>
    <t>* AI TechTalk: What’s new in Cognitive Services speech recognition products https://azure.microsoft.com/en-us/resources/videos/ignite-2018-ai-techtalk-what’s-new-in-cognitive-services-speech-recognition-products/</t>
  </si>
  <si>
    <t>* Process and translate speech with Azure Cognitive Speech Services https://docs.microsoft.com/en-us/learn/paths/translate-speech-with-speech-services/</t>
  </si>
  <si>
    <t>* LearnAI: LUIS – Notes from the Field https://channel9.msdn.com/Shows/AI-Show/LearnAI-LUIS--Notes-from-the-Field</t>
  </si>
  <si>
    <t>* Create and publish a natural language machine learning model with LUIS https://docs.microsoft.com/en-us/learn/modules/create-and-publish-a-luis-model/</t>
  </si>
  <si>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https://docs.microsoft.com/en-us/azure/cognitive-services/Bing-Autosuggest/
--- Navigate to documentation links </t>
    </r>
    <r>
      <rPr>
        <b/>
        <i/>
        <sz val="11"/>
        <color theme="1"/>
        <rFont val="Calibri"/>
        <family val="2"/>
        <scheme val="minor"/>
      </rPr>
      <t>What is Bing Autosuggest</t>
    </r>
    <r>
      <rPr>
        <i/>
        <sz val="11"/>
        <color theme="1"/>
        <rFont val="Calibri"/>
        <family val="2"/>
        <scheme val="minor"/>
      </rPr>
      <t xml:space="preserve">, </t>
    </r>
    <r>
      <rPr>
        <b/>
        <i/>
        <sz val="11"/>
        <color theme="1"/>
        <rFont val="Calibri"/>
        <family val="2"/>
        <scheme val="minor"/>
      </rPr>
      <t>Getting suggestions from the Bing Autosuggest API</t>
    </r>
    <r>
      <rPr>
        <i/>
        <sz val="11"/>
        <color theme="1"/>
        <rFont val="Calibri"/>
        <family val="2"/>
        <scheme val="minor"/>
      </rPr>
      <t xml:space="preserve">, </t>
    </r>
    <r>
      <rPr>
        <b/>
        <i/>
        <sz val="11"/>
        <color theme="1"/>
        <rFont val="Calibri"/>
        <family val="2"/>
        <scheme val="minor"/>
      </rPr>
      <t xml:space="preserve">Supported Languages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</si>
  <si>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https://docs.microsoft.com/en-us/azure/cognitive-services/bing-web-search/
--- Navigate to documentation links </t>
    </r>
    <r>
      <rPr>
        <b/>
        <i/>
        <sz val="11"/>
        <color theme="1"/>
        <rFont val="Calibri"/>
        <family val="2"/>
        <scheme val="minor"/>
      </rPr>
      <t>What is Bing Web Search</t>
    </r>
    <r>
      <rPr>
        <i/>
        <sz val="11"/>
        <color theme="1"/>
        <rFont val="Calibri"/>
        <family val="2"/>
        <scheme val="minor"/>
      </rPr>
      <t xml:space="preserve">, </t>
    </r>
    <r>
      <rPr>
        <b/>
        <i/>
        <sz val="11"/>
        <color theme="1"/>
        <rFont val="Calibri"/>
        <family val="2"/>
        <scheme val="minor"/>
      </rPr>
      <t>Web search responses</t>
    </r>
    <r>
      <rPr>
        <i/>
        <sz val="11"/>
        <color theme="1"/>
        <rFont val="Calibri"/>
        <family val="2"/>
        <scheme val="minor"/>
      </rPr>
      <t xml:space="preserve">, </t>
    </r>
    <r>
      <rPr>
        <b/>
        <i/>
        <sz val="11"/>
        <color theme="1"/>
        <rFont val="Calibri"/>
        <family val="2"/>
        <scheme val="minor"/>
      </rPr>
      <t xml:space="preserve">Autosuggest for Bing queries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</si>
  <si>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https://docs.microsoft.com/en-us/azure/cognitive-services/qnamaker
--- Navigate to documentation links </t>
    </r>
    <r>
      <rPr>
        <b/>
        <i/>
        <sz val="11"/>
        <color theme="1"/>
        <rFont val="Calibri"/>
        <family val="2"/>
        <scheme val="minor"/>
      </rPr>
      <t>What is QnA Maker</t>
    </r>
    <r>
      <rPr>
        <i/>
        <sz val="11"/>
        <color theme="1"/>
        <rFont val="Calibri"/>
        <family val="2"/>
        <scheme val="minor"/>
      </rPr>
      <t xml:space="preserve">, </t>
    </r>
    <r>
      <rPr>
        <b/>
        <i/>
        <sz val="11"/>
        <color theme="1"/>
        <rFont val="Calibri"/>
        <family val="2"/>
        <scheme val="minor"/>
      </rPr>
      <t>Create, train, and publish a knowledge base</t>
    </r>
    <r>
      <rPr>
        <i/>
        <sz val="11"/>
        <color theme="1"/>
        <rFont val="Calibri"/>
        <family val="2"/>
        <scheme val="minor"/>
      </rPr>
      <t xml:space="preserve">, </t>
    </r>
    <r>
      <rPr>
        <b/>
        <i/>
        <sz val="11"/>
        <color theme="1"/>
        <rFont val="Calibri"/>
        <family val="2"/>
        <scheme val="minor"/>
      </rPr>
      <t xml:space="preserve">Understand data sources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</si>
  <si>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https://docs.microsoft.com/en-us/azure/cognitive-services/speech-service/
--- Navigate to documentation links </t>
    </r>
    <r>
      <rPr>
        <b/>
        <i/>
        <sz val="11"/>
        <color theme="1"/>
        <rFont val="Calibri"/>
        <family val="2"/>
        <scheme val="minor"/>
      </rPr>
      <t>What is Speech Service</t>
    </r>
    <r>
      <rPr>
        <i/>
        <sz val="11"/>
        <color theme="1"/>
        <rFont val="Calibri"/>
        <family val="2"/>
        <scheme val="minor"/>
      </rPr>
      <t xml:space="preserve">, </t>
    </r>
    <r>
      <rPr>
        <b/>
        <i/>
        <sz val="11"/>
        <color theme="1"/>
        <rFont val="Calibri"/>
        <family val="2"/>
        <scheme val="minor"/>
      </rPr>
      <t>Sign Up for Speech Services</t>
    </r>
    <r>
      <rPr>
        <i/>
        <sz val="11"/>
        <color theme="1"/>
        <rFont val="Calibri"/>
        <family val="2"/>
        <scheme val="minor"/>
      </rPr>
      <t xml:space="preserve">, </t>
    </r>
    <r>
      <rPr>
        <b/>
        <i/>
        <sz val="11"/>
        <color theme="1"/>
        <rFont val="Calibri"/>
        <family val="2"/>
        <scheme val="minor"/>
      </rPr>
      <t xml:space="preserve">Speech Services SDK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</si>
  <si>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https://docs.microsoft.com/en-us/azure/cognitive-services/luis/
--- Navigate to documentation links </t>
    </r>
    <r>
      <rPr>
        <b/>
        <i/>
        <sz val="11"/>
        <color theme="1"/>
        <rFont val="Calibri"/>
        <family val="2"/>
        <scheme val="minor"/>
      </rPr>
      <t>What is Luis</t>
    </r>
    <r>
      <rPr>
        <i/>
        <sz val="11"/>
        <color theme="1"/>
        <rFont val="Calibri"/>
        <family val="2"/>
        <scheme val="minor"/>
      </rPr>
      <t xml:space="preserve">, </t>
    </r>
    <r>
      <rPr>
        <b/>
        <i/>
        <sz val="11"/>
        <color theme="1"/>
        <rFont val="Calibri"/>
        <family val="2"/>
        <scheme val="minor"/>
      </rPr>
      <t>Plan your LUIS app</t>
    </r>
    <r>
      <rPr>
        <i/>
        <sz val="11"/>
        <color theme="1"/>
        <rFont val="Calibri"/>
        <family val="2"/>
        <scheme val="minor"/>
      </rPr>
      <t xml:space="preserve">, </t>
    </r>
    <r>
      <rPr>
        <b/>
        <i/>
        <sz val="11"/>
        <color theme="1"/>
        <rFont val="Calibri"/>
        <family val="2"/>
        <scheme val="minor"/>
      </rPr>
      <t xml:space="preserve">Best practices for a LUIS app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</si>
  <si>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https://docs.microsoft.com/en-us/azure/cognitive-services/text-analytics/
--- Navigate to documentation links </t>
    </r>
    <r>
      <rPr>
        <b/>
        <i/>
        <sz val="11"/>
        <color theme="1"/>
        <rFont val="Calibri"/>
        <family val="2"/>
        <scheme val="minor"/>
      </rPr>
      <t>What is Text Analytics</t>
    </r>
    <r>
      <rPr>
        <i/>
        <sz val="11"/>
        <color theme="1"/>
        <rFont val="Calibri"/>
        <family val="2"/>
        <scheme val="minor"/>
      </rPr>
      <t xml:space="preserve">,  </t>
    </r>
    <r>
      <rPr>
        <b/>
        <i/>
        <sz val="11"/>
        <color theme="1"/>
        <rFont val="Calibri"/>
        <family val="2"/>
        <scheme val="minor"/>
      </rPr>
      <t>Sign up for Text Analytics API</t>
    </r>
    <r>
      <rPr>
        <i/>
        <sz val="11"/>
        <color theme="1"/>
        <rFont val="Calibri"/>
        <family val="2"/>
        <scheme val="minor"/>
      </rPr>
      <t xml:space="preserve">, </t>
    </r>
    <r>
      <rPr>
        <b/>
        <i/>
        <sz val="11"/>
        <color theme="1"/>
        <rFont val="Calibri"/>
        <family val="2"/>
        <scheme val="minor"/>
      </rPr>
      <t xml:space="preserve">Access Keys for Text Analytics API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</si>
  <si>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https://docs.microsoft.com/en-us/azure/cognitive-services/content-moderator/
--- Navigate to documentation links </t>
    </r>
    <r>
      <rPr>
        <b/>
        <i/>
        <sz val="11"/>
        <color theme="1"/>
        <rFont val="Calibri"/>
        <family val="2"/>
        <scheme val="minor"/>
      </rPr>
      <t>What is Content Moderator</t>
    </r>
    <r>
      <rPr>
        <i/>
        <sz val="11"/>
        <color theme="1"/>
        <rFont val="Calibri"/>
        <family val="2"/>
        <scheme val="minor"/>
      </rPr>
      <t xml:space="preserve">,  </t>
    </r>
    <r>
      <rPr>
        <b/>
        <i/>
        <sz val="11"/>
        <color theme="1"/>
        <rFont val="Calibri"/>
        <family val="2"/>
        <scheme val="minor"/>
      </rPr>
      <t>Text Moderation API</t>
    </r>
    <r>
      <rPr>
        <i/>
        <sz val="11"/>
        <color theme="1"/>
        <rFont val="Calibri"/>
        <family val="2"/>
        <scheme val="minor"/>
      </rPr>
      <t xml:space="preserve">, </t>
    </r>
    <r>
      <rPr>
        <b/>
        <i/>
        <sz val="11"/>
        <color theme="1"/>
        <rFont val="Calibri"/>
        <family val="2"/>
        <scheme val="minor"/>
      </rPr>
      <t xml:space="preserve">Image Moderation API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Tutorial(s)/Samples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</si>
  <si>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https://docs.microsoft.com/en-us/azure/cognitive-services/Custom-Vision-Service/
--- Navigate to documentation links </t>
    </r>
    <r>
      <rPr>
        <b/>
        <i/>
        <sz val="11"/>
        <color theme="1"/>
        <rFont val="Calibri"/>
        <family val="2"/>
        <scheme val="minor"/>
      </rPr>
      <t>What is Custom Vision</t>
    </r>
    <r>
      <rPr>
        <i/>
        <sz val="11"/>
        <color theme="1"/>
        <rFont val="Calibri"/>
        <family val="2"/>
        <scheme val="minor"/>
      </rPr>
      <t xml:space="preserve">,  </t>
    </r>
    <r>
      <rPr>
        <b/>
        <i/>
        <sz val="11"/>
        <color theme="1"/>
        <rFont val="Calibri"/>
        <family val="2"/>
        <scheme val="minor"/>
      </rPr>
      <t>Build a classifier</t>
    </r>
    <r>
      <rPr>
        <i/>
        <sz val="11"/>
        <color theme="1"/>
        <rFont val="Calibri"/>
        <family val="2"/>
        <scheme val="minor"/>
      </rPr>
      <t xml:space="preserve">, </t>
    </r>
    <r>
      <rPr>
        <b/>
        <i/>
        <sz val="11"/>
        <color theme="1"/>
        <rFont val="Calibri"/>
        <family val="2"/>
        <scheme val="minor"/>
      </rPr>
      <t xml:space="preserve">Export model to mobile devices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 xml:space="preserve">Code Samples </t>
    </r>
    <r>
      <rPr>
        <sz val="11"/>
        <color theme="1"/>
        <rFont val="Calibri"/>
        <family val="2"/>
        <scheme val="minor"/>
      </rPr>
      <t xml:space="preserve">(2 minutes)
--- Review the list of APIs and SDKs under the </t>
    </r>
    <r>
      <rPr>
        <b/>
        <i/>
        <sz val="11"/>
        <color theme="1"/>
        <rFont val="Calibri"/>
        <family val="2"/>
        <scheme val="minor"/>
      </rPr>
      <t xml:space="preserve">Reference </t>
    </r>
    <r>
      <rPr>
        <sz val="11"/>
        <color theme="1"/>
        <rFont val="Calibri"/>
        <family val="2"/>
        <scheme val="minor"/>
      </rPr>
      <t>section</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</si>
  <si>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https://docs.microsoft.com/en-us/azure/cognitive-services/face/
--- Navigate to documentation links </t>
    </r>
    <r>
      <rPr>
        <b/>
        <i/>
        <sz val="11"/>
        <color theme="1"/>
        <rFont val="Calibri"/>
        <family val="2"/>
        <scheme val="minor"/>
      </rPr>
      <t>What is Face API</t>
    </r>
    <r>
      <rPr>
        <i/>
        <sz val="11"/>
        <color theme="1"/>
        <rFont val="Calibri"/>
        <family val="2"/>
        <scheme val="minor"/>
      </rPr>
      <t xml:space="preserve">,  </t>
    </r>
    <r>
      <rPr>
        <b/>
        <i/>
        <sz val="11"/>
        <color theme="1"/>
        <rFont val="Calibri"/>
        <family val="2"/>
        <scheme val="minor"/>
      </rPr>
      <t>Detect Faces in images</t>
    </r>
    <r>
      <rPr>
        <i/>
        <sz val="11"/>
        <color theme="1"/>
        <rFont val="Calibri"/>
        <family val="2"/>
        <scheme val="minor"/>
      </rPr>
      <t xml:space="preserve">, </t>
    </r>
    <r>
      <rPr>
        <b/>
        <i/>
        <sz val="11"/>
        <color theme="1"/>
        <rFont val="Calibri"/>
        <family val="2"/>
        <scheme val="minor"/>
      </rPr>
      <t xml:space="preserve">Use FACE API in containers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</si>
  <si>
    <r>
      <t xml:space="preserve">*  Serverless in Azure https://azure.microsoft.com/en-us/solutions/serverless/
--- Take a few short minutes to review this high level page in order to understand the concept of serverless architectures
--- Review section </t>
    </r>
    <r>
      <rPr>
        <b/>
        <i/>
        <sz val="11"/>
        <color theme="1"/>
        <rFont val="Calibri"/>
        <family val="2"/>
        <scheme val="minor"/>
      </rPr>
      <t xml:space="preserve">"Examples of serverless applications possible in Azure" </t>
    </r>
    <r>
      <rPr>
        <sz val="11"/>
        <color theme="1"/>
        <rFont val="Calibri"/>
        <family val="2"/>
        <scheme val="minor"/>
      </rPr>
      <t>which shows interesting ways in which serverless architectures can simplify your deployments. Some examples: Web application backends, Mobile application backends, Real time file processing, Real time stream processing</t>
    </r>
  </si>
  <si>
    <r>
      <rPr>
        <i/>
        <sz val="11"/>
        <color theme="1"/>
        <rFont val="Calibri"/>
        <family val="2"/>
        <scheme val="minor"/>
      </rPr>
      <t xml:space="preserve">Learn about the new Microsoft Health Bot. The Health Bot Service is a </t>
    </r>
    <r>
      <rPr>
        <b/>
        <i/>
        <sz val="11"/>
        <color theme="1"/>
        <rFont val="Calibri"/>
        <family val="2"/>
        <scheme val="minor"/>
      </rPr>
      <t>SaaS</t>
    </r>
    <r>
      <rPr>
        <i/>
        <sz val="11"/>
        <color theme="1"/>
        <rFont val="Calibri"/>
        <family val="2"/>
        <scheme val="minor"/>
      </rPr>
      <t xml:space="preserve"> solution that empowers Microsoft partners to build and deploy compliant, AI-powered health agents, allowing them to offer their users intelligent, personalized access to health-related information and interactions through a natural conversation experience.</t>
    </r>
    <r>
      <rPr>
        <sz val="11"/>
        <color theme="1"/>
        <rFont val="Calibri"/>
        <family val="2"/>
        <scheme val="minor"/>
      </rPr>
      <t xml:space="preserve">
* Bringing conversational AI to healthcare https://www.microsoft.com/en-us/research/project/health-bot/
* Health Bot Overview https://docs.microsoft.com/en-us/healthbot/</t>
    </r>
  </si>
  <si>
    <r>
      <rPr>
        <i/>
        <sz val="11"/>
        <color rgb="FFFF0000"/>
        <rFont val="Calibri"/>
        <family val="2"/>
        <scheme val="minor"/>
      </rPr>
      <t xml:space="preserve">Do not perform any of the tutorial walkthroughs for the topics below. Just read through the steps and familiarize yourself with some of the tools and processes which are outlined. You will be performing detailed hands-on labs later.
</t>
    </r>
    <r>
      <rPr>
        <sz val="11"/>
        <color theme="1"/>
        <rFont val="Calibri"/>
        <family val="2"/>
        <scheme val="minor"/>
      </rPr>
      <t xml:space="preserve">* API Documentation  https://docs.microsoft.com/en-us/azure/cognitive-services/computer-vision/
--- Navigate to documentation links </t>
    </r>
    <r>
      <rPr>
        <b/>
        <i/>
        <sz val="11"/>
        <color theme="1"/>
        <rFont val="Calibri"/>
        <family val="2"/>
        <scheme val="minor"/>
      </rPr>
      <t>What is Computer Vision</t>
    </r>
    <r>
      <rPr>
        <i/>
        <sz val="11"/>
        <color theme="1"/>
        <rFont val="Calibri"/>
        <family val="2"/>
        <scheme val="minor"/>
      </rPr>
      <t xml:space="preserve">,  </t>
    </r>
    <r>
      <rPr>
        <b/>
        <i/>
        <sz val="11"/>
        <color theme="1"/>
        <rFont val="Calibri"/>
        <family val="2"/>
        <scheme val="minor"/>
      </rPr>
      <t>Subscription Keys for Computer Vision API</t>
    </r>
    <r>
      <rPr>
        <i/>
        <sz val="11"/>
        <color theme="1"/>
        <rFont val="Calibri"/>
        <family val="2"/>
        <scheme val="minor"/>
      </rPr>
      <t xml:space="preserve">, </t>
    </r>
    <r>
      <rPr>
        <b/>
        <i/>
        <sz val="11"/>
        <color theme="1"/>
        <rFont val="Calibri"/>
        <family val="2"/>
        <scheme val="minor"/>
      </rPr>
      <t xml:space="preserve">Call the Computer Vision API
</t>
    </r>
    <r>
      <rPr>
        <sz val="11"/>
        <color theme="1"/>
        <rFont val="Calibri"/>
        <family val="2"/>
        <scheme val="minor"/>
      </rPr>
      <t xml:space="preserve">--- Navigate to one of the </t>
    </r>
    <r>
      <rPr>
        <b/>
        <i/>
        <sz val="11"/>
        <color theme="1"/>
        <rFont val="Calibri"/>
        <family val="2"/>
        <scheme val="minor"/>
      </rPr>
      <t xml:space="preserve">5-Minute Quickstarts </t>
    </r>
    <r>
      <rPr>
        <sz val="11"/>
        <color theme="1"/>
        <rFont val="Calibri"/>
        <family val="2"/>
        <scheme val="minor"/>
      </rPr>
      <t xml:space="preserve">using your language/SDK of choice
--- Navigate to the </t>
    </r>
    <r>
      <rPr>
        <b/>
        <sz val="11"/>
        <color theme="1"/>
        <rFont val="Calibri"/>
        <family val="2"/>
        <scheme val="minor"/>
      </rPr>
      <t>Step-by-Step Tutorial(s)</t>
    </r>
    <r>
      <rPr>
        <sz val="11"/>
        <color theme="1"/>
        <rFont val="Calibri"/>
        <family val="2"/>
        <scheme val="minor"/>
      </rPr>
      <t xml:space="preserve">
--- Review the list of APIs and SDKs under the </t>
    </r>
    <r>
      <rPr>
        <b/>
        <i/>
        <sz val="11"/>
        <color theme="1"/>
        <rFont val="Calibri"/>
        <family val="2"/>
        <scheme val="minor"/>
      </rPr>
      <t xml:space="preserve">Reference </t>
    </r>
    <r>
      <rPr>
        <sz val="11"/>
        <color theme="1"/>
        <rFont val="Calibri"/>
        <family val="2"/>
        <scheme val="minor"/>
      </rPr>
      <t>section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</si>
</sst>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u/>
      <sz val="11"/>
      <color theme="10"/>
      <name val="Calibri"/>
      <family val="2"/>
      <scheme val="minor"/>
    </font>
    <font>
      <b/>
      <i/>
      <sz val="11"/>
      <color theme="1"/>
      <name val="Calibri"/>
      <family val="2"/>
      <scheme val="minor"/>
    </font>
    <font>
      <i/>
      <sz val="11"/>
      <color rgb="FFFF0000"/>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theme="4"/>
      </top>
      <bottom style="double">
        <color theme="4"/>
      </bottom>
      <diagonal/>
    </border>
    <border>
      <left style="thin">
        <color theme="4" tint="0.39997558519241921"/>
      </left>
      <right/>
      <top style="thin">
        <color theme="4"/>
      </top>
      <bottom style="double">
        <color theme="4"/>
      </bottom>
      <diagonal/>
    </border>
    <border>
      <left/>
      <right style="thin">
        <color theme="4" tint="0.39997558519241921"/>
      </right>
      <top style="thin">
        <color theme="4"/>
      </top>
      <bottom style="double">
        <color theme="4"/>
      </bottom>
      <diagonal/>
    </border>
  </borders>
  <cellStyleXfs count="3">
    <xf numFmtId="0" fontId="0" fillId="0" borderId="0"/>
    <xf numFmtId="0" fontId="4" fillId="0" borderId="0" applyNumberFormat="0" applyFill="0" applyBorder="0" applyAlignment="0" applyProtection="0"/>
    <xf numFmtId="0" fontId="1" fillId="0" borderId="1" applyNumberFormat="0" applyFill="0" applyAlignment="0" applyProtection="0"/>
  </cellStyleXfs>
  <cellXfs count="17">
    <xf numFmtId="0" fontId="0" fillId="0" borderId="0" xfId="0"/>
    <xf numFmtId="0" fontId="0" fillId="0" borderId="0" xfId="0" applyAlignment="1">
      <alignment horizontal="left" vertical="top" wrapText="1"/>
    </xf>
    <xf numFmtId="2" fontId="0" fillId="0" borderId="0" xfId="0" applyNumberFormat="1" applyAlignment="1">
      <alignment horizontal="left" vertical="top" wrapText="1"/>
    </xf>
    <xf numFmtId="0" fontId="1" fillId="0" borderId="1" xfId="0" applyFont="1" applyBorder="1" applyAlignment="1">
      <alignment horizontal="left" vertical="top" wrapText="1"/>
    </xf>
    <xf numFmtId="0" fontId="1" fillId="0" borderId="1" xfId="2" applyAlignment="1">
      <alignment horizontal="left" vertical="top" wrapText="1"/>
    </xf>
    <xf numFmtId="2" fontId="1" fillId="0" borderId="1" xfId="2" applyNumberFormat="1" applyAlignment="1">
      <alignment horizontal="left" vertical="top" wrapText="1"/>
    </xf>
    <xf numFmtId="0" fontId="0" fillId="0" borderId="0" xfId="0" applyAlignment="1">
      <alignment wrapText="1"/>
    </xf>
    <xf numFmtId="0" fontId="4" fillId="0" borderId="0" xfId="1" applyAlignment="1">
      <alignment horizontal="left" vertical="top" wrapText="1"/>
    </xf>
    <xf numFmtId="0" fontId="1" fillId="0" borderId="2" xfId="2" applyBorder="1" applyAlignment="1">
      <alignment horizontal="left" vertical="top" wrapText="1"/>
    </xf>
    <xf numFmtId="1" fontId="0" fillId="0" borderId="0" xfId="0" applyNumberFormat="1" applyAlignment="1">
      <alignment horizontal="right" wrapText="1"/>
    </xf>
    <xf numFmtId="0" fontId="0" fillId="0" borderId="0" xfId="0" applyAlignment="1">
      <alignment horizontal="right" wrapText="1"/>
    </xf>
    <xf numFmtId="1" fontId="0" fillId="0" borderId="0" xfId="0" applyNumberFormat="1" applyAlignment="1">
      <alignment horizontal="right" vertical="top" wrapText="1"/>
    </xf>
    <xf numFmtId="1" fontId="1" fillId="0" borderId="1" xfId="0" applyNumberFormat="1" applyFont="1" applyBorder="1" applyAlignment="1">
      <alignment horizontal="right" vertical="top" wrapText="1"/>
    </xf>
    <xf numFmtId="164" fontId="1" fillId="0" borderId="3" xfId="2" applyNumberFormat="1" applyBorder="1" applyAlignment="1">
      <alignment horizontal="right" vertical="top" wrapText="1"/>
    </xf>
    <xf numFmtId="0" fontId="5" fillId="2" borderId="0" xfId="0" applyFont="1" applyFill="1" applyAlignment="1">
      <alignment wrapText="1"/>
    </xf>
    <xf numFmtId="0" fontId="0" fillId="0" borderId="0" xfId="0" applyAlignment="1">
      <alignment horizontal="right" vertical="top" wrapText="1"/>
    </xf>
    <xf numFmtId="164" fontId="1" fillId="0" borderId="1" xfId="2" applyNumberFormat="1" applyAlignment="1">
      <alignment horizontal="right" vertical="top" wrapText="1"/>
    </xf>
  </cellXfs>
  <cellStyles count="3">
    <cellStyle name="Hyperlink" xfId="1" builtinId="8"/>
    <cellStyle name="Normal" xfId="0" builtinId="0"/>
    <cellStyle name="Total" xfId="2" builtinId="25"/>
  </cellStyles>
  <dxfs count="52">
    <dxf>
      <font>
        <b/>
        <i val="0"/>
        <strike val="0"/>
        <condense val="0"/>
        <extend val="0"/>
        <outline val="0"/>
        <shadow val="0"/>
        <u val="none"/>
        <vertAlign val="baseline"/>
        <sz val="11"/>
        <color theme="1"/>
        <name val="Calibri"/>
        <family val="2"/>
        <scheme val="minor"/>
      </font>
      <numFmt numFmtId="1" formatCode="0"/>
      <alignment horizontal="righ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numFmt numFmtId="1" formatCode="0"/>
      <alignment horizontal="righ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numFmt numFmtId="1" formatCode="0"/>
      <alignment horizontal="righ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 formatCode="0"/>
      <alignment horizontal="right" vertical="top" textRotation="0" wrapText="1" indent="0" justifyLastLine="0" shrinkToFit="0" readingOrder="0"/>
      <border diagonalUp="0" diagonalDown="0" outline="0">
        <left/>
        <right/>
        <top style="thin">
          <color theme="4"/>
        </top>
        <bottom style="double">
          <color theme="4"/>
        </bottom>
      </border>
    </dxf>
    <dxf>
      <alignmen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4"/>
        </top>
        <bottom style="double">
          <color theme="4"/>
        </bottom>
      </border>
    </dxf>
    <dxf>
      <alignment textRotation="0" wrapText="1" indent="0" justifyLastLine="0" shrinkToFit="0" readingOrder="0"/>
    </dxf>
    <dxf>
      <alignment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righ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1" formatCode="0"/>
      <alignment horizontal="righ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D2EF9-9510-48E2-877A-BF263265756B}" name="tblFoundational" displayName="tblFoundational" ref="A1:E20" totalsRowCount="1" headerRowDxfId="51" dataDxfId="50" totalsRowDxfId="49">
  <autoFilter ref="A1:E19" xr:uid="{CB692D5E-827E-4B8B-AE10-2A328061EACE}"/>
  <tableColumns count="5">
    <tableColumn id="1" xr3:uid="{32E75659-6DA4-4389-BB5C-7F59134E6709}" name="Skill Category" totalsRowLabel="Total Duration (minutes)" dataDxfId="48" totalsRowDxfId="14"/>
    <tableColumn id="2" xr3:uid="{17D5702B-E7CA-4244-8FBC-BEAA7FE50B41}" name="Skill" dataDxfId="47" totalsRowDxfId="13"/>
    <tableColumn id="5" xr3:uid="{9D3FBA9E-8DB4-4D05-95D5-CAC52F8C0AAC}" name="Activity" dataDxfId="46" totalsRowDxfId="12"/>
    <tableColumn id="4" xr3:uid="{12F8901A-DED2-45FF-BE48-EC9FA18F7814}" name="Content Type" dataDxfId="45" totalsRowDxfId="11"/>
    <tableColumn id="3" xr3:uid="{C618AE3C-1EA7-44CF-83FF-A617C5116E0C}" name="Duration_x000a_(minutes)" totalsRowFunction="sum" dataDxfId="44" totalsRow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407530-4598-4B4C-BEB4-2C777C683953}" name="tblIntelligentAgents" displayName="tblIntelligentAgents" ref="A1:E14" totalsRowCount="1" headerRowDxfId="43" dataDxfId="42" totalsRowCellStyle="Total">
  <autoFilter ref="A1:E13" xr:uid="{B13F0BDF-84D3-41F8-98F3-F95B07D12E87}"/>
  <tableColumns count="5">
    <tableColumn id="1" xr3:uid="{29BC78B0-9C70-4F02-8594-03AEA228DD5E}" name="Skill Category" totalsRowLabel="Total Duration (minutes)" totalsRowDxfId="9"/>
    <tableColumn id="2" xr3:uid="{B8D7F47C-74E3-438F-836F-8428001975ED}" name="Skill" totalsRowDxfId="8"/>
    <tableColumn id="3" xr3:uid="{9D67822F-661A-41FF-8804-1D88265E17B9}" name="Activity" totalsRowDxfId="7"/>
    <tableColumn id="4" xr3:uid="{50675231-1261-466E-A5A5-BD9772F21513}" name="Content Type" totalsRowDxfId="6"/>
    <tableColumn id="5" xr3:uid="{7B34298E-D4E5-4345-BE38-E235E1CDA364}" name="Duration_x000a_(minutes)" totalsRowFunction="sum" dataDxfId="41" totalsRow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A136E6-FFEC-4CFD-98B7-651BD7F9B484}" name="tblIntelligentApps" displayName="tblIntelligentApps" ref="A1:E31" totalsRowCount="1" headerRowDxfId="40" dataDxfId="39" totalsRowDxfId="38" totalsRowCellStyle="Total">
  <autoFilter ref="A1:E30" xr:uid="{11513EA9-8FEA-451D-8017-2558D0342FB2}"/>
  <tableColumns count="5">
    <tableColumn id="1" xr3:uid="{D6839118-FC4D-45F0-9447-D3F02FCC77C2}" name="Skill Category" totalsRowLabel="Total Duration (minutes)" dataDxfId="37" totalsRowDxfId="4"/>
    <tableColumn id="2" xr3:uid="{FEF3092C-56F6-4443-A145-A88011776DB3}" name="Skill" dataDxfId="36" totalsRowDxfId="3"/>
    <tableColumn id="3" xr3:uid="{0251C2B6-0E86-4A33-B564-0C1B22B264D8}" name="Activity" dataDxfId="35" totalsRowDxfId="2"/>
    <tableColumn id="4" xr3:uid="{785D54A4-DEC8-4F53-8A83-290078D185C6}" name="Content Type " dataDxfId="34" totalsRowDxfId="1"/>
    <tableColumn id="5" xr3:uid="{C4584008-8AB2-4592-AA49-71345FA686B3}" name="Duration_x000a_(minutes)" totalsRowFunction="sum" dataDxfId="33" totalsRow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D110ED-DFD7-4D86-AE6F-19CF0D1EA2A7}" name="tblKnowledgeMining" displayName="tblKnowledgeMining" ref="A1:E8" totalsRowCount="1" headerRowDxfId="32" dataDxfId="31" totalsRowDxfId="30" totalsRowCellStyle="Total">
  <autoFilter ref="A1:E7" xr:uid="{BF669153-132F-49C0-9FB3-F97F7988908A}"/>
  <tableColumns count="5">
    <tableColumn id="1" xr3:uid="{85D72EEF-5497-4571-BAE2-6C19CF878B67}" name="Skill Category" totalsRowLabel="Total Duration (minutes)" dataDxfId="29" totalsRowDxfId="28"/>
    <tableColumn id="2" xr3:uid="{5747A382-739B-4EA3-8F37-53A4EDE78809}" name="Skill" dataDxfId="27" totalsRowDxfId="26"/>
    <tableColumn id="3" xr3:uid="{181831C6-7BA0-4379-BDB7-A8F90EEADAF8}" name="Activity" dataDxfId="25" totalsRowDxfId="24"/>
    <tableColumn id="4" xr3:uid="{F78525AF-B7A9-4487-896B-871CBD93F791}" name="Content Type" dataDxfId="23" totalsRowDxfId="22"/>
    <tableColumn id="5" xr3:uid="{B7A41743-44E4-4466-A416-17F5B7047563}" name="Duration_x000a_(minutes)" totalsRowFunction="sum" dataDxfId="21" totalsRowDxfId="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597B0-594F-4E2E-AF3E-B7ADF62563FF}" name="Table2" displayName="Table2" ref="A1:C23" totalsRowShown="0" headerRowDxfId="19" dataDxfId="18">
  <autoFilter ref="A1:C23" xr:uid="{668DD9F3-A9B0-4152-87BF-FA8C16E1F1F3}"/>
  <tableColumns count="3">
    <tableColumn id="1" xr3:uid="{630C1DA1-85A7-4CF6-BEE2-0B45026237B8}" name="Content Type" dataDxfId="17"/>
    <tableColumn id="2" xr3:uid="{49EDE6BB-3741-4734-90D8-E98304F1E946}" name="Content Description" dataDxfId="16"/>
    <tableColumn id="3" xr3:uid="{A5DBC341-A32F-4DB8-A5C2-98C7B10C0529}" name="URL"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docs.microsoft.com/en-us/learn/modules/build-and-store-container-image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docs.microsoft.com/en-us/learn/modules/build-a-faq-chat-bot-with-qna-maker-and-azure-bot-servi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hyperlink" Target="https://azure.microsoft.com/en-us/resources/samples" TargetMode="External"/><Relationship Id="rId13" Type="http://schemas.openxmlformats.org/officeDocument/2006/relationships/hyperlink" Target="https://www.edx.org/microsoft-professional-program-data-science" TargetMode="External"/><Relationship Id="rId18" Type="http://schemas.openxmlformats.org/officeDocument/2006/relationships/hyperlink" Target="https://channel9.msdn.com/Shows/AI-Show" TargetMode="External"/><Relationship Id="rId3" Type="http://schemas.openxmlformats.org/officeDocument/2006/relationships/hyperlink" Target="https://azure.github.io/LearnAI-Bootcamp/" TargetMode="External"/><Relationship Id="rId21" Type="http://schemas.openxmlformats.org/officeDocument/2006/relationships/hyperlink" Target="https://azure.microsoft.com/en-us/resources/videos/index/?services=cognitive-services" TargetMode="External"/><Relationship Id="rId7" Type="http://schemas.openxmlformats.org/officeDocument/2006/relationships/hyperlink" Target="https://channel9.msdn.com/" TargetMode="External"/><Relationship Id="rId12" Type="http://schemas.openxmlformats.org/officeDocument/2006/relationships/hyperlink" Target="https://www.edx.org/course/introduction-artificial-intelligence-3" TargetMode="External"/><Relationship Id="rId17" Type="http://schemas.openxmlformats.org/officeDocument/2006/relationships/hyperlink" Target="https://azure.github.io/LearnAI-KnowledgeMiningBootcamp/" TargetMode="External"/><Relationship Id="rId2" Type="http://schemas.openxmlformats.org/officeDocument/2006/relationships/hyperlink" Target="https://azure.microsoft.com/en-us/overview/webinars/" TargetMode="External"/><Relationship Id="rId16" Type="http://schemas.openxmlformats.org/officeDocument/2006/relationships/hyperlink" Target="https://feedback.azure.com/" TargetMode="External"/><Relationship Id="rId20" Type="http://schemas.openxmlformats.org/officeDocument/2006/relationships/hyperlink" Target="https://www.ailab.microsoft.com/" TargetMode="External"/><Relationship Id="rId1" Type="http://schemas.openxmlformats.org/officeDocument/2006/relationships/hyperlink" Target="https://www.edx.org/course?school=Microsoft%3A%20Microsoft&amp;availability=current" TargetMode="External"/><Relationship Id="rId6" Type="http://schemas.openxmlformats.org/officeDocument/2006/relationships/hyperlink" Target="https://github.com/explore" TargetMode="External"/><Relationship Id="rId11" Type="http://schemas.openxmlformats.org/officeDocument/2006/relationships/hyperlink" Target="https://aischool.microsoft.com/" TargetMode="External"/><Relationship Id="rId5" Type="http://schemas.openxmlformats.org/officeDocument/2006/relationships/hyperlink" Target="https://www.microsoft.com/handsonlabs" TargetMode="External"/><Relationship Id="rId15" Type="http://schemas.openxmlformats.org/officeDocument/2006/relationships/hyperlink" Target="https://notebooks.azure.com/" TargetMode="External"/><Relationship Id="rId23" Type="http://schemas.openxmlformats.org/officeDocument/2006/relationships/table" Target="../tables/table5.xml"/><Relationship Id="rId10" Type="http://schemas.openxmlformats.org/officeDocument/2006/relationships/hyperlink" Target="https://aidemos.microsoft.com/" TargetMode="External"/><Relationship Id="rId19" Type="http://schemas.openxmlformats.org/officeDocument/2006/relationships/hyperlink" Target="https://iotschool.microsoft.com/en-us" TargetMode="External"/><Relationship Id="rId4" Type="http://schemas.openxmlformats.org/officeDocument/2006/relationships/hyperlink" Target="https://guides.github.com/" TargetMode="External"/><Relationship Id="rId9" Type="http://schemas.openxmlformats.org/officeDocument/2006/relationships/hyperlink" Target="https://docs.microsoft.com/en-us/learn/browse/" TargetMode="External"/><Relationship Id="rId14" Type="http://schemas.openxmlformats.org/officeDocument/2006/relationships/hyperlink" Target="https://gallery.azure.ai/" TargetMode="External"/><Relationship Id="rId22"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4286-F976-4767-AF50-75F88948B81D}">
  <dimension ref="A1:E22"/>
  <sheetViews>
    <sheetView tabSelected="1" topLeftCell="A19" zoomScaleNormal="100" workbookViewId="0">
      <selection activeCell="E21" sqref="E21"/>
    </sheetView>
  </sheetViews>
  <sheetFormatPr defaultColWidth="8.88671875" defaultRowHeight="14.4" x14ac:dyDescent="0.3"/>
  <cols>
    <col min="1" max="1" width="16.5546875" style="1" bestFit="1" customWidth="1"/>
    <col min="2" max="2" width="13.77734375" style="1" customWidth="1"/>
    <col min="3" max="3" width="89.21875" style="1" customWidth="1"/>
    <col min="4" max="4" width="14.109375" style="2" bestFit="1" customWidth="1"/>
    <col min="5" max="5" width="9.109375" style="10" bestFit="1" customWidth="1"/>
    <col min="6" max="8" width="8.88671875" style="1"/>
    <col min="9" max="9" width="73" style="1" customWidth="1"/>
    <col min="10" max="16384" width="8.88671875" style="1"/>
  </cols>
  <sheetData>
    <row r="1" spans="1:5" ht="28.8" x14ac:dyDescent="0.3">
      <c r="A1" s="1" t="s">
        <v>0</v>
      </c>
      <c r="B1" s="1" t="s">
        <v>1</v>
      </c>
      <c r="C1" s="1" t="s">
        <v>2</v>
      </c>
      <c r="D1" s="1" t="s">
        <v>113</v>
      </c>
      <c r="E1" s="9" t="s">
        <v>21</v>
      </c>
    </row>
    <row r="2" spans="1:5" ht="28.8" x14ac:dyDescent="0.3">
      <c r="A2" s="1" t="s">
        <v>3</v>
      </c>
      <c r="B2" s="1" t="s">
        <v>20</v>
      </c>
      <c r="C2" s="1" t="s">
        <v>44</v>
      </c>
      <c r="D2" s="1" t="s">
        <v>4</v>
      </c>
      <c r="E2" s="11">
        <v>3</v>
      </c>
    </row>
    <row r="3" spans="1:5" ht="43.2" x14ac:dyDescent="0.3">
      <c r="A3" s="1" t="s">
        <v>3</v>
      </c>
      <c r="B3" s="1" t="s">
        <v>20</v>
      </c>
      <c r="C3" s="1" t="s">
        <v>54</v>
      </c>
      <c r="D3" s="1" t="s">
        <v>4</v>
      </c>
      <c r="E3" s="11">
        <v>5</v>
      </c>
    </row>
    <row r="4" spans="1:5" ht="158.4" x14ac:dyDescent="0.3">
      <c r="A4" s="1" t="s">
        <v>3</v>
      </c>
      <c r="B4" s="1" t="s">
        <v>6</v>
      </c>
      <c r="C4" s="2" t="s">
        <v>50</v>
      </c>
      <c r="D4" s="1" t="s">
        <v>18</v>
      </c>
      <c r="E4" s="11">
        <v>30</v>
      </c>
    </row>
    <row r="5" spans="1:5" ht="43.2" x14ac:dyDescent="0.3">
      <c r="A5" s="1" t="s">
        <v>7</v>
      </c>
      <c r="B5" s="1" t="s">
        <v>11</v>
      </c>
      <c r="C5" s="1" t="s">
        <v>49</v>
      </c>
      <c r="D5" s="1" t="s">
        <v>18</v>
      </c>
      <c r="E5" s="11">
        <v>3</v>
      </c>
    </row>
    <row r="6" spans="1:5" ht="115.2" x14ac:dyDescent="0.3">
      <c r="A6" s="1" t="s">
        <v>7</v>
      </c>
      <c r="B6" s="1" t="s">
        <v>11</v>
      </c>
      <c r="C6" s="1" t="s">
        <v>58</v>
      </c>
      <c r="D6" s="1" t="s">
        <v>31</v>
      </c>
      <c r="E6" s="11">
        <v>6</v>
      </c>
    </row>
    <row r="7" spans="1:5" ht="100.8" x14ac:dyDescent="0.3">
      <c r="A7" s="1" t="s">
        <v>7</v>
      </c>
      <c r="B7" s="1" t="s">
        <v>10</v>
      </c>
      <c r="C7" s="1" t="s">
        <v>57</v>
      </c>
      <c r="D7" s="1" t="s">
        <v>18</v>
      </c>
      <c r="E7" s="11">
        <v>25</v>
      </c>
    </row>
    <row r="8" spans="1:5" ht="43.2" x14ac:dyDescent="0.3">
      <c r="A8" s="1" t="s">
        <v>63</v>
      </c>
      <c r="B8" s="1" t="s">
        <v>19</v>
      </c>
      <c r="C8" s="1" t="s">
        <v>48</v>
      </c>
      <c r="D8" s="1" t="s">
        <v>31</v>
      </c>
      <c r="E8" s="11">
        <v>49</v>
      </c>
    </row>
    <row r="9" spans="1:5" ht="72" x14ac:dyDescent="0.3">
      <c r="A9" s="1" t="s">
        <v>63</v>
      </c>
      <c r="B9" s="1" t="s">
        <v>55</v>
      </c>
      <c r="C9" s="1" t="s">
        <v>56</v>
      </c>
      <c r="D9" s="1" t="s">
        <v>31</v>
      </c>
      <c r="E9" s="11">
        <v>15</v>
      </c>
    </row>
    <row r="10" spans="1:5" ht="187.2" x14ac:dyDescent="0.3">
      <c r="A10" s="1" t="s">
        <v>9</v>
      </c>
      <c r="B10" s="1" t="s">
        <v>40</v>
      </c>
      <c r="C10" s="1" t="s">
        <v>51</v>
      </c>
      <c r="D10" s="1" t="s">
        <v>41</v>
      </c>
      <c r="E10" s="11">
        <v>10</v>
      </c>
    </row>
    <row r="11" spans="1:5" ht="86.4" x14ac:dyDescent="0.3">
      <c r="A11" s="1" t="s">
        <v>9</v>
      </c>
      <c r="B11" s="1" t="s">
        <v>52</v>
      </c>
      <c r="C11" s="1" t="s">
        <v>186</v>
      </c>
      <c r="D11" s="1" t="s">
        <v>5</v>
      </c>
      <c r="E11" s="11">
        <v>5</v>
      </c>
    </row>
    <row r="12" spans="1:5" ht="144" x14ac:dyDescent="0.3">
      <c r="A12" s="1" t="s">
        <v>9</v>
      </c>
      <c r="B12" s="1" t="s">
        <v>52</v>
      </c>
      <c r="C12" s="1" t="s">
        <v>53</v>
      </c>
      <c r="D12" s="1" t="s">
        <v>5</v>
      </c>
      <c r="E12" s="11">
        <v>15</v>
      </c>
    </row>
    <row r="13" spans="1:5" ht="28.8" x14ac:dyDescent="0.3">
      <c r="A13" s="1" t="s">
        <v>13</v>
      </c>
      <c r="B13" s="1" t="s">
        <v>43</v>
      </c>
      <c r="C13" s="1" t="s">
        <v>46</v>
      </c>
      <c r="D13" s="1" t="s">
        <v>31</v>
      </c>
      <c r="E13" s="11">
        <v>10</v>
      </c>
    </row>
    <row r="14" spans="1:5" ht="57.6" x14ac:dyDescent="0.3">
      <c r="A14" s="1" t="s">
        <v>13</v>
      </c>
      <c r="B14" s="1" t="s">
        <v>37</v>
      </c>
      <c r="C14" s="1" t="s">
        <v>45</v>
      </c>
      <c r="D14" s="1" t="s">
        <v>18</v>
      </c>
      <c r="E14" s="11">
        <v>7</v>
      </c>
    </row>
    <row r="15" spans="1:5" ht="72" x14ac:dyDescent="0.3">
      <c r="A15" s="1" t="s">
        <v>15</v>
      </c>
      <c r="B15" s="1" t="s">
        <v>62</v>
      </c>
      <c r="C15" s="1" t="s">
        <v>47</v>
      </c>
      <c r="D15" s="1" t="s">
        <v>18</v>
      </c>
      <c r="E15" s="11">
        <v>12</v>
      </c>
    </row>
    <row r="16" spans="1:5" ht="43.2" x14ac:dyDescent="0.3">
      <c r="A16" s="1" t="s">
        <v>15</v>
      </c>
      <c r="B16" s="1" t="s">
        <v>62</v>
      </c>
      <c r="C16" s="1" t="s">
        <v>124</v>
      </c>
      <c r="D16" s="1" t="s">
        <v>31</v>
      </c>
      <c r="E16" s="11">
        <v>25</v>
      </c>
    </row>
    <row r="17" spans="1:5" ht="43.2" x14ac:dyDescent="0.3">
      <c r="A17" s="1" t="s">
        <v>15</v>
      </c>
      <c r="B17" s="1" t="s">
        <v>144</v>
      </c>
      <c r="C17" s="1" t="s">
        <v>143</v>
      </c>
      <c r="D17" s="1" t="s">
        <v>97</v>
      </c>
      <c r="E17" s="11">
        <v>5</v>
      </c>
    </row>
    <row r="18" spans="1:5" ht="158.4" x14ac:dyDescent="0.3">
      <c r="A18" s="1" t="s">
        <v>15</v>
      </c>
      <c r="B18" s="1" t="s">
        <v>126</v>
      </c>
      <c r="C18" s="1" t="s">
        <v>135</v>
      </c>
      <c r="D18" s="1" t="s">
        <v>5</v>
      </c>
      <c r="E18" s="11">
        <v>10</v>
      </c>
    </row>
    <row r="19" spans="1:5" ht="28.8" x14ac:dyDescent="0.3">
      <c r="A19" s="1" t="s">
        <v>140</v>
      </c>
      <c r="B19" s="1" t="s">
        <v>141</v>
      </c>
      <c r="C19" s="1" t="s">
        <v>139</v>
      </c>
      <c r="D19" s="1" t="s">
        <v>18</v>
      </c>
      <c r="E19" s="11">
        <v>16</v>
      </c>
    </row>
    <row r="20" spans="1:5" ht="29.4" thickBot="1" x14ac:dyDescent="0.35">
      <c r="A20" s="3" t="s">
        <v>22</v>
      </c>
      <c r="B20" s="3"/>
      <c r="C20" s="3"/>
      <c r="D20" s="3"/>
      <c r="E20" s="12">
        <f>SUBTOTAL(109,tblFoundational[Duration
(minutes)])</f>
        <v>251</v>
      </c>
    </row>
    <row r="21" spans="1:5" ht="30" thickTop="1" thickBot="1" x14ac:dyDescent="0.35">
      <c r="A21" s="4" t="s">
        <v>8</v>
      </c>
      <c r="B21" s="4"/>
      <c r="C21" s="4"/>
      <c r="D21" s="5"/>
      <c r="E21" s="16">
        <f>tblFoundational[[#Totals],[Duration
(minutes)]]/60</f>
        <v>4.1833333333333336</v>
      </c>
    </row>
    <row r="22" spans="1:5" ht="15" thickTop="1" x14ac:dyDescent="0.3"/>
  </sheetData>
  <hyperlinks>
    <hyperlink ref="C8" r:id="rId1" display="https://docs.microsoft.com/en-us/learn/modules/build-and-store-container-images/_x000a_" xr:uid="{D9F64872-EB40-4BFF-956A-F654B0527F3B}"/>
  </hyperlinks>
  <pageMargins left="0.7" right="0.7" top="0.75" bottom="0.75" header="0.3" footer="0.3"/>
  <pageSetup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C553-FCCB-4BF3-BE3B-057300CFFD51}">
  <dimension ref="A1:E16"/>
  <sheetViews>
    <sheetView topLeftCell="A13" zoomScale="102" zoomScaleNormal="102" workbookViewId="0">
      <selection activeCell="E15" sqref="E15"/>
    </sheetView>
  </sheetViews>
  <sheetFormatPr defaultColWidth="8.88671875" defaultRowHeight="14.4" x14ac:dyDescent="0.3"/>
  <cols>
    <col min="1" max="1" width="14.109375" style="1" customWidth="1"/>
    <col min="2" max="2" width="13.21875" style="1" customWidth="1"/>
    <col min="3" max="3" width="82.88671875" style="1" customWidth="1"/>
    <col min="4" max="4" width="19.44140625" style="1" customWidth="1"/>
    <col min="5" max="5" width="17.88671875" style="1" customWidth="1"/>
    <col min="6" max="16384" width="8.88671875" style="1"/>
  </cols>
  <sheetData>
    <row r="1" spans="1:5" ht="28.8" x14ac:dyDescent="0.3">
      <c r="A1" s="1" t="s">
        <v>0</v>
      </c>
      <c r="B1" s="1" t="s">
        <v>1</v>
      </c>
      <c r="C1" s="1" t="s">
        <v>2</v>
      </c>
      <c r="D1" s="1" t="s">
        <v>113</v>
      </c>
      <c r="E1" s="1" t="s">
        <v>21</v>
      </c>
    </row>
    <row r="2" spans="1:5" ht="100.8" x14ac:dyDescent="0.3">
      <c r="A2" s="1" t="s">
        <v>9</v>
      </c>
      <c r="B2" s="1" t="s">
        <v>89</v>
      </c>
      <c r="C2" s="1" t="s">
        <v>127</v>
      </c>
      <c r="D2" s="1" t="s">
        <v>5</v>
      </c>
      <c r="E2" s="11">
        <v>11</v>
      </c>
    </row>
    <row r="3" spans="1:5" ht="409.6" x14ac:dyDescent="0.3">
      <c r="A3" s="1" t="s">
        <v>75</v>
      </c>
      <c r="B3" s="1" t="s">
        <v>88</v>
      </c>
      <c r="C3" s="1" t="s">
        <v>92</v>
      </c>
      <c r="D3" s="1" t="s">
        <v>5</v>
      </c>
      <c r="E3" s="11">
        <v>75</v>
      </c>
    </row>
    <row r="4" spans="1:5" ht="144" x14ac:dyDescent="0.3">
      <c r="A4" s="1" t="s">
        <v>75</v>
      </c>
      <c r="B4" s="1" t="s">
        <v>86</v>
      </c>
      <c r="C4" s="1" t="s">
        <v>101</v>
      </c>
      <c r="D4" s="1" t="s">
        <v>5</v>
      </c>
      <c r="E4" s="11">
        <v>5</v>
      </c>
    </row>
    <row r="5" spans="1:5" ht="216" x14ac:dyDescent="0.3">
      <c r="A5" s="1" t="s">
        <v>75</v>
      </c>
      <c r="B5" s="1" t="s">
        <v>87</v>
      </c>
      <c r="C5" s="1" t="s">
        <v>102</v>
      </c>
      <c r="D5" s="1" t="s">
        <v>5</v>
      </c>
      <c r="E5" s="11">
        <v>5</v>
      </c>
    </row>
    <row r="6" spans="1:5" ht="57.6" x14ac:dyDescent="0.3">
      <c r="A6" s="1" t="s">
        <v>75</v>
      </c>
      <c r="B6" s="1" t="s">
        <v>76</v>
      </c>
      <c r="C6" s="1" t="s">
        <v>80</v>
      </c>
      <c r="D6" s="1" t="s">
        <v>18</v>
      </c>
      <c r="E6" s="11">
        <v>9</v>
      </c>
    </row>
    <row r="7" spans="1:5" ht="302.39999999999998" x14ac:dyDescent="0.3">
      <c r="A7" s="1" t="s">
        <v>75</v>
      </c>
      <c r="B7" s="1" t="s">
        <v>78</v>
      </c>
      <c r="C7" s="1" t="s">
        <v>163</v>
      </c>
      <c r="D7" s="1" t="s">
        <v>31</v>
      </c>
      <c r="E7" s="11">
        <v>520</v>
      </c>
    </row>
    <row r="8" spans="1:5" ht="100.8" x14ac:dyDescent="0.3">
      <c r="A8" s="1" t="s">
        <v>75</v>
      </c>
      <c r="B8" s="1" t="s">
        <v>79</v>
      </c>
      <c r="C8" s="1" t="s">
        <v>90</v>
      </c>
      <c r="D8" s="1" t="s">
        <v>5</v>
      </c>
      <c r="E8" s="11">
        <v>5</v>
      </c>
    </row>
    <row r="9" spans="1:5" ht="129.6" x14ac:dyDescent="0.3">
      <c r="A9" s="1" t="s">
        <v>75</v>
      </c>
      <c r="B9" s="1" t="s">
        <v>99</v>
      </c>
      <c r="C9" s="1" t="s">
        <v>95</v>
      </c>
      <c r="D9" s="1" t="s">
        <v>97</v>
      </c>
      <c r="E9" s="11">
        <v>5</v>
      </c>
    </row>
    <row r="10" spans="1:5" ht="115.2" x14ac:dyDescent="0.3">
      <c r="A10" s="1" t="s">
        <v>75</v>
      </c>
      <c r="B10" s="1" t="s">
        <v>96</v>
      </c>
      <c r="C10" s="1" t="s">
        <v>98</v>
      </c>
      <c r="D10" s="1" t="s">
        <v>97</v>
      </c>
      <c r="E10" s="11">
        <v>5</v>
      </c>
    </row>
    <row r="11" spans="1:5" ht="72" x14ac:dyDescent="0.3">
      <c r="A11" s="1" t="s">
        <v>75</v>
      </c>
      <c r="B11" s="1" t="s">
        <v>79</v>
      </c>
      <c r="C11" s="1" t="s">
        <v>91</v>
      </c>
      <c r="D11" s="1" t="s">
        <v>5</v>
      </c>
      <c r="E11" s="11">
        <v>9</v>
      </c>
    </row>
    <row r="12" spans="1:5" ht="43.2" x14ac:dyDescent="0.3">
      <c r="A12" s="1" t="s">
        <v>75</v>
      </c>
      <c r="B12" s="1" t="s">
        <v>79</v>
      </c>
      <c r="C12" s="1" t="s">
        <v>94</v>
      </c>
      <c r="D12" s="1" t="s">
        <v>97</v>
      </c>
      <c r="E12" s="11">
        <v>8</v>
      </c>
    </row>
    <row r="13" spans="1:5" ht="115.2" x14ac:dyDescent="0.3">
      <c r="A13" s="1" t="s">
        <v>75</v>
      </c>
      <c r="B13" s="1" t="s">
        <v>142</v>
      </c>
      <c r="C13" s="1" t="s">
        <v>187</v>
      </c>
      <c r="D13" s="1" t="s">
        <v>5</v>
      </c>
      <c r="E13" s="11">
        <v>10</v>
      </c>
    </row>
    <row r="14" spans="1:5" ht="29.4" thickBot="1" x14ac:dyDescent="0.35">
      <c r="A14" s="3" t="s">
        <v>22</v>
      </c>
      <c r="B14" s="3"/>
      <c r="C14" s="3"/>
      <c r="D14" s="3"/>
      <c r="E14" s="12">
        <f>SUBTOTAL(109,tblIntelligentAgents[Duration
(minutes)])</f>
        <v>667</v>
      </c>
    </row>
    <row r="15" spans="1:5" ht="30" thickTop="1" thickBot="1" x14ac:dyDescent="0.35">
      <c r="A15" s="8" t="s">
        <v>8</v>
      </c>
      <c r="B15" s="4"/>
      <c r="C15" s="4"/>
      <c r="D15" s="4"/>
      <c r="E15" s="13">
        <f>SUBTOTAL(109,tblIntelligentAgents[Duration
(minutes)])/60</f>
        <v>11.116666666666667</v>
      </c>
    </row>
    <row r="16" spans="1:5" ht="15" thickTop="1" x14ac:dyDescent="0.3"/>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B201F-4172-402F-BF95-618DFE257C93}">
  <dimension ref="A1:E33"/>
  <sheetViews>
    <sheetView topLeftCell="A25" zoomScale="85" zoomScaleNormal="85" workbookViewId="0">
      <selection activeCell="E32" sqref="E32"/>
    </sheetView>
  </sheetViews>
  <sheetFormatPr defaultRowHeight="14.4" x14ac:dyDescent="0.3"/>
  <cols>
    <col min="1" max="1" width="11.44140625" style="1" bestFit="1" customWidth="1"/>
    <col min="2" max="2" width="16.5546875" style="1" customWidth="1"/>
    <col min="3" max="3" width="147.77734375" style="1" customWidth="1"/>
    <col min="4" max="4" width="15.5546875" style="1" customWidth="1"/>
    <col min="5" max="5" width="9.44140625" style="15" bestFit="1" customWidth="1"/>
  </cols>
  <sheetData>
    <row r="1" spans="1:5" ht="28.8" x14ac:dyDescent="0.3">
      <c r="A1" s="1" t="s">
        <v>0</v>
      </c>
      <c r="B1" s="1" t="s">
        <v>1</v>
      </c>
      <c r="C1" s="1" t="s">
        <v>2</v>
      </c>
      <c r="D1" s="1" t="s">
        <v>114</v>
      </c>
      <c r="E1" s="15" t="s">
        <v>21</v>
      </c>
    </row>
    <row r="2" spans="1:5" ht="43.2" x14ac:dyDescent="0.3">
      <c r="A2" s="1" t="s">
        <v>9</v>
      </c>
      <c r="B2" s="1" t="s">
        <v>151</v>
      </c>
      <c r="C2" s="1" t="s">
        <v>152</v>
      </c>
      <c r="D2" s="1" t="s">
        <v>5</v>
      </c>
      <c r="E2" s="11">
        <v>10</v>
      </c>
    </row>
    <row r="3" spans="1:5" ht="43.2" x14ac:dyDescent="0.3">
      <c r="A3" s="1" t="s">
        <v>9</v>
      </c>
      <c r="B3" s="1" t="s">
        <v>125</v>
      </c>
      <c r="C3" s="1" t="s">
        <v>156</v>
      </c>
      <c r="D3" s="1" t="s">
        <v>5</v>
      </c>
      <c r="E3" s="11">
        <v>3</v>
      </c>
    </row>
    <row r="4" spans="1:5" ht="144" x14ac:dyDescent="0.3">
      <c r="A4" s="1" t="s">
        <v>128</v>
      </c>
      <c r="B4" s="1" t="s">
        <v>129</v>
      </c>
      <c r="C4" s="1" t="s">
        <v>168</v>
      </c>
      <c r="D4" s="1" t="s">
        <v>5</v>
      </c>
      <c r="E4" s="11">
        <v>25</v>
      </c>
    </row>
    <row r="5" spans="1:5" ht="28.8" x14ac:dyDescent="0.3">
      <c r="A5" s="1" t="s">
        <v>128</v>
      </c>
      <c r="B5" s="1" t="s">
        <v>129</v>
      </c>
      <c r="C5" s="1" t="s">
        <v>155</v>
      </c>
      <c r="D5" s="1" t="s">
        <v>18</v>
      </c>
      <c r="E5" s="11">
        <v>4</v>
      </c>
    </row>
    <row r="6" spans="1:5" ht="100.8" x14ac:dyDescent="0.3">
      <c r="A6" s="1" t="s">
        <v>128</v>
      </c>
      <c r="B6" s="1" t="s">
        <v>131</v>
      </c>
      <c r="C6" s="1" t="s">
        <v>188</v>
      </c>
      <c r="D6" s="1" t="s">
        <v>5</v>
      </c>
      <c r="E6" s="11">
        <v>35</v>
      </c>
    </row>
    <row r="7" spans="1:5" ht="28.8" x14ac:dyDescent="0.3">
      <c r="A7" s="1" t="s">
        <v>128</v>
      </c>
      <c r="B7" s="1" t="s">
        <v>131</v>
      </c>
      <c r="C7" s="1" t="s">
        <v>157</v>
      </c>
      <c r="D7" s="1" t="s">
        <v>18</v>
      </c>
      <c r="E7" s="11">
        <v>53</v>
      </c>
    </row>
    <row r="8" spans="1:5" ht="28.8" x14ac:dyDescent="0.3">
      <c r="A8" s="1" t="s">
        <v>128</v>
      </c>
      <c r="B8" s="1" t="s">
        <v>131</v>
      </c>
      <c r="C8" s="1" t="s">
        <v>162</v>
      </c>
      <c r="D8" s="1" t="s">
        <v>31</v>
      </c>
      <c r="E8" s="11">
        <v>32</v>
      </c>
    </row>
    <row r="9" spans="1:5" ht="100.8" x14ac:dyDescent="0.3">
      <c r="A9" s="1" t="s">
        <v>128</v>
      </c>
      <c r="B9" s="1" t="s">
        <v>130</v>
      </c>
      <c r="C9" s="1" t="s">
        <v>185</v>
      </c>
      <c r="D9" s="1" t="s">
        <v>5</v>
      </c>
      <c r="E9" s="11">
        <v>35</v>
      </c>
    </row>
    <row r="10" spans="1:5" ht="28.8" x14ac:dyDescent="0.3">
      <c r="A10" s="1" t="s">
        <v>128</v>
      </c>
      <c r="B10" s="1" t="s">
        <v>130</v>
      </c>
      <c r="C10" s="1" t="s">
        <v>164</v>
      </c>
      <c r="D10" s="1" t="s">
        <v>31</v>
      </c>
      <c r="E10" s="11">
        <v>53</v>
      </c>
    </row>
    <row r="11" spans="1:5" ht="100.8" x14ac:dyDescent="0.3">
      <c r="A11" s="1" t="s">
        <v>128</v>
      </c>
      <c r="B11" s="1" t="s">
        <v>132</v>
      </c>
      <c r="C11" s="1" t="s">
        <v>184</v>
      </c>
      <c r="D11" s="1" t="s">
        <v>5</v>
      </c>
      <c r="E11" s="11">
        <v>35</v>
      </c>
    </row>
    <row r="12" spans="1:5" ht="28.8" x14ac:dyDescent="0.3">
      <c r="A12" s="1" t="s">
        <v>128</v>
      </c>
      <c r="B12" s="1" t="s">
        <v>132</v>
      </c>
      <c r="C12" s="1" t="s">
        <v>166</v>
      </c>
      <c r="D12" s="1" t="s">
        <v>18</v>
      </c>
      <c r="E12" s="11">
        <v>38</v>
      </c>
    </row>
    <row r="13" spans="1:5" ht="28.8" x14ac:dyDescent="0.3">
      <c r="A13" s="1" t="s">
        <v>128</v>
      </c>
      <c r="B13" s="1" t="s">
        <v>132</v>
      </c>
      <c r="C13" s="1" t="s">
        <v>165</v>
      </c>
      <c r="D13" s="1" t="s">
        <v>31</v>
      </c>
      <c r="E13" s="11">
        <v>40</v>
      </c>
    </row>
    <row r="14" spans="1:5" ht="100.8" x14ac:dyDescent="0.3">
      <c r="A14" s="1" t="s">
        <v>128</v>
      </c>
      <c r="B14" s="1" t="s">
        <v>158</v>
      </c>
      <c r="C14" s="1" t="s">
        <v>183</v>
      </c>
      <c r="D14" s="1" t="s">
        <v>5</v>
      </c>
      <c r="E14" s="11">
        <v>35</v>
      </c>
    </row>
    <row r="15" spans="1:5" ht="28.8" x14ac:dyDescent="0.3">
      <c r="A15" s="1" t="s">
        <v>128</v>
      </c>
      <c r="B15" s="1" t="s">
        <v>159</v>
      </c>
      <c r="C15" s="1" t="s">
        <v>169</v>
      </c>
      <c r="D15" s="1" t="s">
        <v>5</v>
      </c>
      <c r="E15" s="11">
        <v>4</v>
      </c>
    </row>
    <row r="16" spans="1:5" ht="100.8" x14ac:dyDescent="0.3">
      <c r="A16" s="1" t="s">
        <v>128</v>
      </c>
      <c r="B16" s="1" t="s">
        <v>133</v>
      </c>
      <c r="C16" s="1" t="s">
        <v>182</v>
      </c>
      <c r="D16" s="1" t="s">
        <v>5</v>
      </c>
      <c r="E16" s="11">
        <v>35</v>
      </c>
    </row>
    <row r="17" spans="1:5" ht="28.8" x14ac:dyDescent="0.3">
      <c r="A17" s="1" t="s">
        <v>128</v>
      </c>
      <c r="B17" s="1" t="s">
        <v>133</v>
      </c>
      <c r="C17" s="1" t="s">
        <v>153</v>
      </c>
      <c r="D17" s="1" t="s">
        <v>31</v>
      </c>
      <c r="E17" s="11">
        <v>65</v>
      </c>
    </row>
    <row r="18" spans="1:5" ht="100.8" x14ac:dyDescent="0.3">
      <c r="A18" s="1" t="s">
        <v>128</v>
      </c>
      <c r="B18" s="1" t="s">
        <v>134</v>
      </c>
      <c r="C18" s="1" t="s">
        <v>181</v>
      </c>
      <c r="D18" s="1" t="s">
        <v>5</v>
      </c>
      <c r="E18" s="11">
        <v>35</v>
      </c>
    </row>
    <row r="19" spans="1:5" ht="28.8" x14ac:dyDescent="0.3">
      <c r="A19" s="1" t="s">
        <v>128</v>
      </c>
      <c r="B19" s="1" t="s">
        <v>134</v>
      </c>
      <c r="C19" s="1" t="s">
        <v>175</v>
      </c>
      <c r="D19" s="1" t="s">
        <v>18</v>
      </c>
      <c r="E19" s="11">
        <v>18</v>
      </c>
    </row>
    <row r="20" spans="1:5" ht="28.8" x14ac:dyDescent="0.3">
      <c r="A20" s="1" t="s">
        <v>128</v>
      </c>
      <c r="B20" s="1" t="s">
        <v>134</v>
      </c>
      <c r="C20" s="1" t="s">
        <v>176</v>
      </c>
      <c r="D20" s="1" t="s">
        <v>31</v>
      </c>
      <c r="E20" s="11">
        <v>54</v>
      </c>
    </row>
    <row r="21" spans="1:5" ht="100.8" x14ac:dyDescent="0.3">
      <c r="A21" s="1" t="s">
        <v>128</v>
      </c>
      <c r="B21" s="1" t="s">
        <v>167</v>
      </c>
      <c r="C21" s="1" t="s">
        <v>180</v>
      </c>
      <c r="D21" s="1" t="s">
        <v>5</v>
      </c>
      <c r="E21" s="11">
        <v>35</v>
      </c>
    </row>
    <row r="22" spans="1:5" ht="28.8" x14ac:dyDescent="0.3">
      <c r="A22" s="1" t="s">
        <v>128</v>
      </c>
      <c r="B22" s="1" t="s">
        <v>167</v>
      </c>
      <c r="C22" s="1" t="s">
        <v>173</v>
      </c>
      <c r="D22" s="1" t="s">
        <v>18</v>
      </c>
      <c r="E22" s="11">
        <v>27</v>
      </c>
    </row>
    <row r="23" spans="1:5" ht="28.8" x14ac:dyDescent="0.3">
      <c r="A23" s="1" t="s">
        <v>128</v>
      </c>
      <c r="B23" s="1" t="s">
        <v>167</v>
      </c>
      <c r="C23" s="1" t="s">
        <v>174</v>
      </c>
      <c r="D23" s="1" t="s">
        <v>31</v>
      </c>
      <c r="E23" s="11">
        <v>94</v>
      </c>
    </row>
    <row r="24" spans="1:5" ht="100.8" x14ac:dyDescent="0.3">
      <c r="A24" s="1" t="s">
        <v>128</v>
      </c>
      <c r="B24" s="1" t="s">
        <v>136</v>
      </c>
      <c r="C24" s="1" t="s">
        <v>179</v>
      </c>
      <c r="D24" s="1" t="s">
        <v>5</v>
      </c>
      <c r="E24" s="11">
        <v>35</v>
      </c>
    </row>
    <row r="25" spans="1:5" ht="28.8" x14ac:dyDescent="0.3">
      <c r="A25" s="1" t="s">
        <v>128</v>
      </c>
      <c r="B25" s="1" t="s">
        <v>136</v>
      </c>
      <c r="C25" s="1" t="s">
        <v>172</v>
      </c>
      <c r="D25" s="1" t="s">
        <v>18</v>
      </c>
      <c r="E25" s="11">
        <v>9</v>
      </c>
    </row>
    <row r="26" spans="1:5" ht="28.8" x14ac:dyDescent="0.3">
      <c r="A26" s="1" t="s">
        <v>128</v>
      </c>
      <c r="B26" s="1" t="s">
        <v>136</v>
      </c>
      <c r="C26" s="1" t="s">
        <v>171</v>
      </c>
      <c r="D26" s="1" t="s">
        <v>31</v>
      </c>
      <c r="E26" s="11">
        <v>48</v>
      </c>
    </row>
    <row r="27" spans="1:5" ht="100.8" x14ac:dyDescent="0.3">
      <c r="A27" s="1" t="s">
        <v>128</v>
      </c>
      <c r="B27" s="1" t="s">
        <v>137</v>
      </c>
      <c r="C27" s="1" t="s">
        <v>178</v>
      </c>
      <c r="D27" s="1" t="s">
        <v>5</v>
      </c>
      <c r="E27" s="11">
        <v>35</v>
      </c>
    </row>
    <row r="28" spans="1:5" ht="28.8" x14ac:dyDescent="0.3">
      <c r="A28" s="1" t="s">
        <v>128</v>
      </c>
      <c r="B28" s="1" t="s">
        <v>137</v>
      </c>
      <c r="C28" s="1" t="s">
        <v>170</v>
      </c>
      <c r="D28" s="1" t="s">
        <v>18</v>
      </c>
      <c r="E28" s="11">
        <v>23</v>
      </c>
    </row>
    <row r="29" spans="1:5" ht="28.8" x14ac:dyDescent="0.3">
      <c r="A29" s="1" t="s">
        <v>128</v>
      </c>
      <c r="B29" s="1" t="s">
        <v>137</v>
      </c>
      <c r="C29" s="1" t="s">
        <v>154</v>
      </c>
      <c r="D29" s="1" t="s">
        <v>31</v>
      </c>
      <c r="E29" s="11">
        <v>16</v>
      </c>
    </row>
    <row r="30" spans="1:5" ht="100.8" x14ac:dyDescent="0.3">
      <c r="A30" s="1" t="s">
        <v>128</v>
      </c>
      <c r="B30" s="1" t="s">
        <v>138</v>
      </c>
      <c r="C30" s="1" t="s">
        <v>177</v>
      </c>
      <c r="D30" s="1" t="s">
        <v>5</v>
      </c>
      <c r="E30" s="11">
        <v>35</v>
      </c>
    </row>
    <row r="31" spans="1:5" ht="43.8" thickBot="1" x14ac:dyDescent="0.35">
      <c r="A31" s="3" t="s">
        <v>22</v>
      </c>
      <c r="B31" s="3"/>
      <c r="C31" s="3"/>
      <c r="D31" s="3"/>
      <c r="E31" s="12">
        <f>SUBTOTAL(109,tblIntelligentApps[Duration
(minutes)])</f>
        <v>966</v>
      </c>
    </row>
    <row r="32" spans="1:5" ht="44.4" thickTop="1" thickBot="1" x14ac:dyDescent="0.35">
      <c r="A32" s="8" t="s">
        <v>8</v>
      </c>
      <c r="B32" s="4"/>
      <c r="C32" s="4"/>
      <c r="D32" s="4"/>
      <c r="E32" s="13">
        <f>SUBTOTAL(109,tblIntelligentApps[Duration
(minutes)])/60</f>
        <v>16.100000000000001</v>
      </c>
    </row>
    <row r="33" ht="15" thickTop="1" x14ac:dyDescent="0.3"/>
  </sheetData>
  <hyperlinks>
    <hyperlink ref="C26" r:id="rId1" display="https://docs.microsoft.com/en-us/learn/modules/build-a-faq-chat-bot-with-qna-maker-and-azure-bot-service/" xr:uid="{027B7203-33CE-4402-8962-9DF5D8958A7F}"/>
  </hyperlink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A7C9-E708-488B-8C2A-110977226918}">
  <dimension ref="A1:E10"/>
  <sheetViews>
    <sheetView topLeftCell="A6" zoomScaleNormal="100" workbookViewId="0">
      <selection activeCell="E9" sqref="E9"/>
    </sheetView>
  </sheetViews>
  <sheetFormatPr defaultRowHeight="14.4" x14ac:dyDescent="0.3"/>
  <cols>
    <col min="1" max="1" width="11.88671875" style="6" customWidth="1"/>
    <col min="2" max="2" width="14.77734375" style="6" customWidth="1"/>
    <col min="3" max="3" width="86.6640625" style="6" customWidth="1"/>
    <col min="4" max="4" width="14.109375" style="6" bestFit="1" customWidth="1"/>
    <col min="5" max="5" width="11.33203125" style="6" bestFit="1" customWidth="1"/>
  </cols>
  <sheetData>
    <row r="1" spans="1:5" ht="28.8" x14ac:dyDescent="0.3">
      <c r="A1" s="1" t="s">
        <v>0</v>
      </c>
      <c r="B1" s="1" t="s">
        <v>1</v>
      </c>
      <c r="C1" s="1" t="s">
        <v>2</v>
      </c>
      <c r="D1" s="1" t="s">
        <v>113</v>
      </c>
      <c r="E1" s="1" t="s">
        <v>21</v>
      </c>
    </row>
    <row r="2" spans="1:5" ht="86.4" x14ac:dyDescent="0.3">
      <c r="A2" s="1" t="s">
        <v>9</v>
      </c>
      <c r="B2" s="1" t="s">
        <v>112</v>
      </c>
      <c r="C2" s="1" t="s">
        <v>123</v>
      </c>
      <c r="D2" s="1" t="s">
        <v>5</v>
      </c>
      <c r="E2" s="1">
        <v>10</v>
      </c>
    </row>
    <row r="3" spans="1:5" ht="57.6" x14ac:dyDescent="0.3">
      <c r="A3" s="1" t="s">
        <v>106</v>
      </c>
      <c r="B3" s="1" t="s">
        <v>112</v>
      </c>
      <c r="C3" s="1" t="s">
        <v>119</v>
      </c>
      <c r="D3" s="1" t="s">
        <v>97</v>
      </c>
      <c r="E3" s="1">
        <v>3</v>
      </c>
    </row>
    <row r="4" spans="1:5" ht="374.4" x14ac:dyDescent="0.3">
      <c r="A4" s="1" t="s">
        <v>106</v>
      </c>
      <c r="B4" s="1" t="s">
        <v>107</v>
      </c>
      <c r="C4" s="1" t="s">
        <v>121</v>
      </c>
      <c r="D4" s="1" t="s">
        <v>5</v>
      </c>
      <c r="E4" s="1">
        <v>74</v>
      </c>
    </row>
    <row r="5" spans="1:5" ht="259.2" x14ac:dyDescent="0.3">
      <c r="A5" s="1" t="s">
        <v>106</v>
      </c>
      <c r="B5" s="1" t="s">
        <v>107</v>
      </c>
      <c r="C5" s="1" t="s">
        <v>118</v>
      </c>
      <c r="D5" s="1" t="s">
        <v>108</v>
      </c>
      <c r="E5" s="11">
        <v>183</v>
      </c>
    </row>
    <row r="6" spans="1:5" ht="72" x14ac:dyDescent="0.3">
      <c r="A6" s="1" t="s">
        <v>106</v>
      </c>
      <c r="B6" s="1" t="s">
        <v>107</v>
      </c>
      <c r="C6" s="1" t="s">
        <v>109</v>
      </c>
      <c r="D6" s="1" t="s">
        <v>31</v>
      </c>
      <c r="E6" s="11">
        <v>60</v>
      </c>
    </row>
    <row r="7" spans="1:5" ht="43.2" x14ac:dyDescent="0.3">
      <c r="A7" s="1" t="s">
        <v>106</v>
      </c>
      <c r="B7" s="1" t="s">
        <v>77</v>
      </c>
      <c r="C7" s="1" t="s">
        <v>120</v>
      </c>
      <c r="D7" s="1" t="s">
        <v>97</v>
      </c>
      <c r="E7" s="11">
        <v>3</v>
      </c>
    </row>
    <row r="8" spans="1:5" ht="43.8" thickBot="1" x14ac:dyDescent="0.35">
      <c r="A8" s="3" t="s">
        <v>22</v>
      </c>
      <c r="B8" s="3"/>
      <c r="C8" s="3"/>
      <c r="D8" s="3"/>
      <c r="E8" s="12">
        <f>SUBTOTAL(109,tblKnowledgeMining[Duration
(minutes)])</f>
        <v>333</v>
      </c>
    </row>
    <row r="9" spans="1:5" ht="44.4" thickTop="1" thickBot="1" x14ac:dyDescent="0.35">
      <c r="A9" s="8" t="s">
        <v>8</v>
      </c>
      <c r="B9" s="4"/>
      <c r="C9" s="4"/>
      <c r="D9" s="4"/>
      <c r="E9" s="13">
        <f>SUBTOTAL(109,tblKnowledgeMining[Duration
(minutes)])/60</f>
        <v>5.55</v>
      </c>
    </row>
    <row r="10" spans="1:5" ht="15" thickTop="1" x14ac:dyDescent="0.3"/>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A4DD-B7C2-45CC-89AE-997F6667AF0C}">
  <dimension ref="A1:A4"/>
  <sheetViews>
    <sheetView workbookViewId="0"/>
  </sheetViews>
  <sheetFormatPr defaultRowHeight="14.4" x14ac:dyDescent="0.3"/>
  <cols>
    <col min="1" max="1" width="107.6640625" style="6" bestFit="1" customWidth="1"/>
  </cols>
  <sheetData>
    <row r="1" spans="1:1" x14ac:dyDescent="0.3">
      <c r="A1" s="14" t="s">
        <v>93</v>
      </c>
    </row>
    <row r="2" spans="1:1" x14ac:dyDescent="0.3">
      <c r="A2" s="14" t="s">
        <v>122</v>
      </c>
    </row>
    <row r="4" spans="1:1" ht="158.4" x14ac:dyDescent="0.3">
      <c r="A4" s="6" t="s">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D168-9C4B-4B56-A956-3EC7C252B44A}">
  <dimension ref="A1:A4"/>
  <sheetViews>
    <sheetView workbookViewId="0">
      <selection activeCell="A4" sqref="A4"/>
    </sheetView>
  </sheetViews>
  <sheetFormatPr defaultRowHeight="14.4" x14ac:dyDescent="0.3"/>
  <cols>
    <col min="1" max="1" width="86.77734375" style="6" bestFit="1" customWidth="1"/>
  </cols>
  <sheetData>
    <row r="1" spans="1:1" x14ac:dyDescent="0.3">
      <c r="A1" s="14" t="s">
        <v>103</v>
      </c>
    </row>
    <row r="2" spans="1:1" x14ac:dyDescent="0.3">
      <c r="A2" s="14" t="s">
        <v>122</v>
      </c>
    </row>
    <row r="4" spans="1:1" ht="57.6" x14ac:dyDescent="0.3">
      <c r="A4" s="6"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86497-F648-42EE-ABEC-B9934F99BF4D}">
  <dimension ref="A1:C22"/>
  <sheetViews>
    <sheetView workbookViewId="0">
      <selection activeCell="A2" sqref="A2"/>
    </sheetView>
  </sheetViews>
  <sheetFormatPr defaultRowHeight="14.4" x14ac:dyDescent="0.3"/>
  <cols>
    <col min="1" max="1" width="16.5546875" style="1" bestFit="1" customWidth="1"/>
    <col min="2" max="2" width="52.21875" style="1" customWidth="1"/>
    <col min="3" max="3" width="41.5546875" style="1" customWidth="1"/>
    <col min="4" max="4" width="14.33203125" bestFit="1" customWidth="1"/>
  </cols>
  <sheetData>
    <row r="1" spans="1:3" x14ac:dyDescent="0.3">
      <c r="A1" s="1" t="s">
        <v>113</v>
      </c>
      <c r="B1" s="1" t="s">
        <v>115</v>
      </c>
      <c r="C1" s="1" t="s">
        <v>23</v>
      </c>
    </row>
    <row r="2" spans="1:3" ht="43.2" x14ac:dyDescent="0.3">
      <c r="A2" s="1" t="s">
        <v>25</v>
      </c>
      <c r="B2" s="1" t="s">
        <v>12</v>
      </c>
      <c r="C2" s="7" t="s">
        <v>14</v>
      </c>
    </row>
    <row r="3" spans="1:3" ht="28.8" x14ac:dyDescent="0.3">
      <c r="A3" s="1" t="s">
        <v>24</v>
      </c>
      <c r="B3" s="1" t="s">
        <v>61</v>
      </c>
      <c r="C3" s="7" t="s">
        <v>17</v>
      </c>
    </row>
    <row r="4" spans="1:3" ht="43.2" x14ac:dyDescent="0.3">
      <c r="A4" s="1" t="s">
        <v>24</v>
      </c>
      <c r="B4" s="1" t="s">
        <v>160</v>
      </c>
      <c r="C4" s="7" t="s">
        <v>161</v>
      </c>
    </row>
    <row r="5" spans="1:3" x14ac:dyDescent="0.3">
      <c r="A5" s="1" t="s">
        <v>24</v>
      </c>
      <c r="B5" s="1" t="s">
        <v>145</v>
      </c>
      <c r="C5" s="7" t="s">
        <v>146</v>
      </c>
    </row>
    <row r="6" spans="1:3" ht="86.4" x14ac:dyDescent="0.3">
      <c r="A6" s="1" t="s">
        <v>31</v>
      </c>
      <c r="B6" s="1" t="s">
        <v>100</v>
      </c>
      <c r="C6" s="7" t="s">
        <v>64</v>
      </c>
    </row>
    <row r="7" spans="1:3" x14ac:dyDescent="0.3">
      <c r="A7" s="1" t="s">
        <v>31</v>
      </c>
      <c r="B7" s="1" t="s">
        <v>35</v>
      </c>
      <c r="C7" s="7" t="s">
        <v>36</v>
      </c>
    </row>
    <row r="8" spans="1:3" ht="28.8" x14ac:dyDescent="0.3">
      <c r="A8" s="1" t="s">
        <v>31</v>
      </c>
      <c r="B8" s="1" t="s">
        <v>16</v>
      </c>
      <c r="C8" s="7" t="s">
        <v>42</v>
      </c>
    </row>
    <row r="9" spans="1:3" x14ac:dyDescent="0.3">
      <c r="A9" s="1" t="s">
        <v>31</v>
      </c>
      <c r="B9" s="1" t="s">
        <v>147</v>
      </c>
      <c r="C9" s="7" t="s">
        <v>148</v>
      </c>
    </row>
    <row r="10" spans="1:3" x14ac:dyDescent="0.3">
      <c r="A10" s="1" t="s">
        <v>31</v>
      </c>
      <c r="B10" s="1" t="s">
        <v>26</v>
      </c>
      <c r="C10" s="7" t="s">
        <v>27</v>
      </c>
    </row>
    <row r="11" spans="1:3" x14ac:dyDescent="0.3">
      <c r="A11" s="1" t="s">
        <v>32</v>
      </c>
      <c r="B11" s="1" t="s">
        <v>33</v>
      </c>
      <c r="C11" s="7" t="s">
        <v>34</v>
      </c>
    </row>
    <row r="12" spans="1:3" ht="28.8" x14ac:dyDescent="0.3">
      <c r="A12" s="1" t="s">
        <v>32</v>
      </c>
      <c r="B12" s="1" t="s">
        <v>116</v>
      </c>
      <c r="C12" s="7" t="s">
        <v>117</v>
      </c>
    </row>
    <row r="13" spans="1:3" ht="28.8" x14ac:dyDescent="0.3">
      <c r="A13" s="1" t="s">
        <v>28</v>
      </c>
      <c r="B13" s="1" t="s">
        <v>29</v>
      </c>
      <c r="C13" s="7" t="s">
        <v>30</v>
      </c>
    </row>
    <row r="14" spans="1:3" x14ac:dyDescent="0.3">
      <c r="A14" s="1" t="s">
        <v>38</v>
      </c>
      <c r="B14" s="1" t="s">
        <v>73</v>
      </c>
      <c r="C14" s="7" t="s">
        <v>39</v>
      </c>
    </row>
    <row r="15" spans="1:3" ht="28.8" x14ac:dyDescent="0.3">
      <c r="A15" s="1" t="s">
        <v>38</v>
      </c>
      <c r="B15" s="1" t="s">
        <v>59</v>
      </c>
      <c r="C15" s="7" t="s">
        <v>60</v>
      </c>
    </row>
    <row r="16" spans="1:3" ht="72" x14ac:dyDescent="0.3">
      <c r="A16" s="1" t="s">
        <v>66</v>
      </c>
      <c r="B16" s="1" t="s">
        <v>72</v>
      </c>
      <c r="C16" s="7" t="s">
        <v>65</v>
      </c>
    </row>
    <row r="17" spans="1:3" x14ac:dyDescent="0.3">
      <c r="A17" s="1" t="s">
        <v>66</v>
      </c>
      <c r="B17" s="1" t="s">
        <v>149</v>
      </c>
      <c r="C17" s="7" t="s">
        <v>150</v>
      </c>
    </row>
    <row r="18" spans="1:3" ht="115.2" x14ac:dyDescent="0.3">
      <c r="A18" s="1" t="s">
        <v>67</v>
      </c>
      <c r="B18" s="1" t="s">
        <v>71</v>
      </c>
      <c r="C18" s="7" t="s">
        <v>68</v>
      </c>
    </row>
    <row r="19" spans="1:3" ht="72" x14ac:dyDescent="0.3">
      <c r="A19" s="1" t="s">
        <v>67</v>
      </c>
      <c r="B19" s="1" t="s">
        <v>70</v>
      </c>
      <c r="C19" s="7" t="s">
        <v>69</v>
      </c>
    </row>
    <row r="20" spans="1:3" ht="57.6" x14ac:dyDescent="0.3">
      <c r="A20" s="1" t="s">
        <v>83</v>
      </c>
      <c r="B20" s="1" t="s">
        <v>82</v>
      </c>
      <c r="C20" s="7" t="s">
        <v>81</v>
      </c>
    </row>
    <row r="21" spans="1:3" ht="86.4" x14ac:dyDescent="0.3">
      <c r="A21" s="1" t="s">
        <v>74</v>
      </c>
      <c r="B21" s="1" t="s">
        <v>85</v>
      </c>
      <c r="C21" s="7" t="s">
        <v>84</v>
      </c>
    </row>
    <row r="22" spans="1:3" ht="43.2" x14ac:dyDescent="0.3">
      <c r="A22" s="1" t="s">
        <v>74</v>
      </c>
      <c r="B22" s="1" t="s">
        <v>105</v>
      </c>
      <c r="C22" s="7" t="s">
        <v>104</v>
      </c>
    </row>
  </sheetData>
  <hyperlinks>
    <hyperlink ref="C2" r:id="rId1" xr:uid="{608139B4-FAE7-4113-BA6F-90BC13F93B46}"/>
    <hyperlink ref="C13" r:id="rId2" xr:uid="{E1DBC9B2-09AC-4E22-901D-777ED907DDC1}"/>
    <hyperlink ref="C11" r:id="rId3" xr:uid="{45CC5A47-51B3-420D-908A-EBE352314781}"/>
    <hyperlink ref="C7" r:id="rId4" xr:uid="{181D988C-CC3F-4164-B664-EFCA111CC971}"/>
    <hyperlink ref="C10" r:id="rId5" xr:uid="{388872F2-E0FC-40A0-8DB1-66FD4AEED8CE}"/>
    <hyperlink ref="C14" r:id="rId6" xr:uid="{F698CB61-AFC6-42FF-A711-765E41D3C0D8}"/>
    <hyperlink ref="C3" r:id="rId7" xr:uid="{B7017B57-A679-46DB-B79F-B7E8F562B837}"/>
    <hyperlink ref="C15" r:id="rId8" xr:uid="{9988C906-0967-47C3-8E08-8F7ABD0B72EA}"/>
    <hyperlink ref="C8" r:id="rId9" xr:uid="{0C3EBA83-71F1-4013-9A0E-97131C0B9231}"/>
    <hyperlink ref="C16" r:id="rId10" xr:uid="{39A30822-C7D3-4737-94B0-6F2B0E02B776}"/>
    <hyperlink ref="C6" r:id="rId11" xr:uid="{8703FDF9-6A7F-451F-8D61-04972824BD04}"/>
    <hyperlink ref="C18" r:id="rId12" xr:uid="{7FD36916-688C-4058-ACD2-8BFAD5DCC2C9}"/>
    <hyperlink ref="C19" r:id="rId13" xr:uid="{70ED0A04-D5C9-4028-88EE-D7CD4A6094BD}"/>
    <hyperlink ref="C20" r:id="rId14" xr:uid="{31F88EA5-4FB7-4F89-BD67-DEA051DE4816}"/>
    <hyperlink ref="C21" r:id="rId15" xr:uid="{889F7C6F-8DBD-45A0-B021-F647DEAB58FE}"/>
    <hyperlink ref="C22" r:id="rId16" xr:uid="{C68925E8-C158-464E-8F6B-349ECF92D657}"/>
    <hyperlink ref="C12" r:id="rId17" xr:uid="{4597FE9B-2DEA-443E-9D0B-17329890A8E8}"/>
    <hyperlink ref="C5" r:id="rId18" xr:uid="{D91737F4-54D0-474C-A897-0743F4F99B80}"/>
    <hyperlink ref="C9" r:id="rId19" xr:uid="{AA76FFAF-2F61-41E8-B40D-9B4A91E06BEC}"/>
    <hyperlink ref="C17" r:id="rId20" xr:uid="{B401204A-2CB5-40B2-8A25-C9393F416A27}"/>
    <hyperlink ref="C4" r:id="rId21" xr:uid="{C285AD30-EEEF-4D22-ADF0-027A7529E0D3}"/>
  </hyperlinks>
  <pageMargins left="0.7" right="0.7" top="0.75" bottom="0.75" header="0.3" footer="0.3"/>
  <pageSetup orientation="portrait" r:id="rId22"/>
  <tableParts count="1">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Foundational</vt:lpstr>
      <vt:lpstr>Intelligent Agents</vt:lpstr>
      <vt:lpstr>Intelligent Apps</vt:lpstr>
      <vt:lpstr>Knowledge Mining</vt:lpstr>
      <vt:lpstr>Custom ML</vt:lpstr>
      <vt:lpstr>IoT</vt:lpstr>
      <vt:lpstr>Appendix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2019-03-14T13:48:45Z</dcterms:modified>
</cp:coreProperties>
</file>